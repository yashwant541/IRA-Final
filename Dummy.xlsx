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nv\Downloads\"/>
    </mc:Choice>
  </mc:AlternateContent>
  <xr:revisionPtr revIDLastSave="0" documentId="13_ncr:1_{B6855EA4-FB3A-4549-BB28-6AADFA9755C4}" xr6:coauthVersionLast="47" xr6:coauthVersionMax="47" xr10:uidLastSave="{00000000-0000-0000-0000-000000000000}"/>
  <bookViews>
    <workbookView xWindow="-108" yWindow="-108" windowWidth="23256" windowHeight="12456" xr2:uid="{4EA52436-B442-4E62-88F9-BC27BC3E5771}"/>
  </bookViews>
  <sheets>
    <sheet name="30+%" sheetId="1" r:id="rId1"/>
    <sheet name="30+$" sheetId="2" r:id="rId2"/>
    <sheet name="90+%" sheetId="3" r:id="rId3"/>
    <sheet name="90+$" sheetId="4" r:id="rId4"/>
    <sheet name="ENR" sheetId="5" r:id="rId5"/>
    <sheet name="GCO %" sheetId="6" r:id="rId6"/>
    <sheet name="ECL IIP LI" sheetId="7" r:id="rId7"/>
    <sheet name="Country prod level app rate" sheetId="8" r:id="rId8"/>
    <sheet name="#monthly new approved" sheetId="9" r:id="rId9"/>
    <sheet name="# policy exception L2 and L3" sheetId="10" r:id="rId10"/>
    <sheet name="ME EA AWC" sheetId="11" r:id="rId11"/>
    <sheet name="PvB EA AWC" sheetId="12" r:id="rId12"/>
    <sheet name="RWA" sheetId="13" r:id="rId13"/>
    <sheet name="Interest Rates" sheetId="14" r:id="rId14"/>
    <sheet name="Fx Rates used" sheetId="15" r:id="rId15"/>
    <sheet name="PPI" sheetId="16" r:id="rId16"/>
    <sheet name="CCPL Volatile by Country" sheetId="17" r:id="rId17"/>
    <sheet name="LTV &gt; 80 Excl MIP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7" l="1"/>
  <c r="K4" i="7"/>
  <c r="L4" i="7"/>
  <c r="M4" i="7"/>
  <c r="N4" i="7"/>
  <c r="O4" i="7"/>
  <c r="P4" i="7"/>
  <c r="Q4" i="7"/>
  <c r="R4" i="7"/>
  <c r="S4" i="7"/>
  <c r="T4" i="7"/>
  <c r="U4" i="7"/>
  <c r="J5" i="7"/>
  <c r="K5" i="7"/>
  <c r="L5" i="7"/>
  <c r="M5" i="7"/>
  <c r="N5" i="7"/>
  <c r="O5" i="7"/>
  <c r="P5" i="7"/>
  <c r="Q5" i="7"/>
  <c r="R5" i="7"/>
  <c r="S5" i="7"/>
  <c r="T5" i="7"/>
  <c r="U5" i="7"/>
  <c r="J6" i="7"/>
  <c r="K6" i="7"/>
  <c r="L6" i="7"/>
  <c r="M6" i="7"/>
  <c r="N6" i="7"/>
  <c r="O6" i="7"/>
  <c r="P6" i="7"/>
  <c r="Q6" i="7"/>
  <c r="R6" i="7"/>
  <c r="S6" i="7"/>
  <c r="T6" i="7"/>
  <c r="U6" i="7"/>
  <c r="J7" i="7"/>
  <c r="K7" i="7"/>
  <c r="L7" i="7"/>
  <c r="M7" i="7"/>
  <c r="N7" i="7"/>
  <c r="O7" i="7"/>
  <c r="P7" i="7"/>
  <c r="Q7" i="7"/>
  <c r="R7" i="7"/>
  <c r="S7" i="7"/>
  <c r="T7" i="7"/>
  <c r="U7" i="7"/>
  <c r="J8" i="7"/>
  <c r="K8" i="7"/>
  <c r="L8" i="7"/>
  <c r="M8" i="7"/>
  <c r="N8" i="7"/>
  <c r="O8" i="7"/>
  <c r="P8" i="7"/>
  <c r="Q8" i="7"/>
  <c r="R8" i="7"/>
  <c r="S8" i="7"/>
  <c r="T8" i="7"/>
  <c r="U8" i="7"/>
  <c r="U3" i="7"/>
  <c r="T3" i="7"/>
  <c r="S3" i="7"/>
  <c r="R3" i="7"/>
  <c r="Q3" i="7"/>
  <c r="P3" i="7"/>
  <c r="O3" i="7"/>
  <c r="N3" i="7"/>
  <c r="M3" i="7"/>
  <c r="L3" i="7"/>
  <c r="K3" i="7"/>
  <c r="J3" i="7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N8" i="8"/>
  <c r="M8" i="8"/>
  <c r="L8" i="8"/>
  <c r="K8" i="8"/>
  <c r="J8" i="8"/>
  <c r="I8" i="8"/>
  <c r="H8" i="8"/>
  <c r="G8" i="8"/>
  <c r="F8" i="8"/>
  <c r="E8" i="8"/>
  <c r="D8" i="8"/>
  <c r="C8" i="8"/>
  <c r="B8" i="8"/>
  <c r="N3" i="8"/>
  <c r="M3" i="8"/>
  <c r="L3" i="8"/>
  <c r="K3" i="8"/>
  <c r="J3" i="8"/>
  <c r="I3" i="8"/>
  <c r="H3" i="8"/>
  <c r="G3" i="8"/>
  <c r="F3" i="8"/>
  <c r="E3" i="8"/>
  <c r="D3" i="8"/>
  <c r="C3" i="8"/>
  <c r="B3" i="8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N8" i="9"/>
  <c r="M8" i="9"/>
  <c r="L8" i="9"/>
  <c r="K8" i="9"/>
  <c r="J8" i="9"/>
  <c r="I8" i="9"/>
  <c r="H8" i="9"/>
  <c r="G8" i="9"/>
  <c r="F8" i="9"/>
  <c r="E8" i="9"/>
  <c r="D8" i="9"/>
  <c r="C8" i="9"/>
  <c r="B8" i="9"/>
  <c r="N3" i="9"/>
  <c r="M3" i="9"/>
  <c r="L3" i="9"/>
  <c r="K3" i="9"/>
  <c r="J3" i="9"/>
  <c r="I3" i="9"/>
  <c r="H3" i="9"/>
  <c r="G3" i="9"/>
  <c r="F3" i="9"/>
  <c r="E3" i="9"/>
  <c r="D3" i="9"/>
  <c r="C3" i="9"/>
  <c r="B3" i="9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3" i="5"/>
  <c r="M3" i="5"/>
  <c r="L3" i="5"/>
  <c r="K3" i="5"/>
  <c r="J3" i="5"/>
  <c r="I3" i="5"/>
  <c r="H3" i="5"/>
  <c r="G3" i="5"/>
  <c r="F3" i="5"/>
  <c r="E3" i="5"/>
  <c r="D3" i="5"/>
  <c r="C3" i="5"/>
  <c r="B3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9" i="5"/>
  <c r="M9" i="5"/>
  <c r="L9" i="5"/>
  <c r="K9" i="5"/>
  <c r="J9" i="5"/>
  <c r="I9" i="5"/>
  <c r="H9" i="5"/>
  <c r="G9" i="5"/>
  <c r="F9" i="5"/>
  <c r="E9" i="5"/>
  <c r="D9" i="5"/>
  <c r="C9" i="5"/>
  <c r="B9" i="5"/>
  <c r="N4" i="5"/>
  <c r="M4" i="5"/>
  <c r="L4" i="5"/>
  <c r="K4" i="5"/>
  <c r="J4" i="5"/>
  <c r="I4" i="5"/>
  <c r="H4" i="5"/>
  <c r="G4" i="5"/>
  <c r="F4" i="5"/>
  <c r="E4" i="5"/>
  <c r="D4" i="5"/>
  <c r="C4" i="5"/>
  <c r="B4" i="5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8" i="4"/>
  <c r="M8" i="4"/>
  <c r="L8" i="4"/>
  <c r="K8" i="4"/>
  <c r="J8" i="4"/>
  <c r="I8" i="4"/>
  <c r="H8" i="4"/>
  <c r="G8" i="4"/>
  <c r="F8" i="4"/>
  <c r="E8" i="4"/>
  <c r="D8" i="4"/>
  <c r="C8" i="4"/>
  <c r="B8" i="4"/>
  <c r="N3" i="4"/>
  <c r="M3" i="4"/>
  <c r="L3" i="4"/>
  <c r="K3" i="4"/>
  <c r="J3" i="4"/>
  <c r="I3" i="4"/>
  <c r="H3" i="4"/>
  <c r="G3" i="4"/>
  <c r="F3" i="4"/>
  <c r="E3" i="4"/>
  <c r="D3" i="4"/>
  <c r="C3" i="4"/>
  <c r="B3" i="4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N8" i="3"/>
  <c r="M8" i="3"/>
  <c r="L8" i="3"/>
  <c r="K8" i="3"/>
  <c r="J8" i="3"/>
  <c r="I8" i="3"/>
  <c r="H8" i="3"/>
  <c r="G8" i="3"/>
  <c r="F8" i="3"/>
  <c r="E8" i="3"/>
  <c r="D8" i="3"/>
  <c r="C8" i="3"/>
  <c r="B8" i="3"/>
  <c r="N3" i="3"/>
  <c r="M3" i="3"/>
  <c r="L3" i="3"/>
  <c r="K3" i="3"/>
  <c r="J3" i="3"/>
  <c r="I3" i="3"/>
  <c r="H3" i="3"/>
  <c r="G3" i="3"/>
  <c r="F3" i="3"/>
  <c r="E3" i="3"/>
  <c r="D3" i="3"/>
  <c r="C3" i="3"/>
  <c r="B3" i="3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8" i="2"/>
  <c r="M8" i="2"/>
  <c r="L8" i="2"/>
  <c r="K8" i="2"/>
  <c r="J8" i="2"/>
  <c r="I8" i="2"/>
  <c r="H8" i="2"/>
  <c r="G8" i="2"/>
  <c r="F8" i="2"/>
  <c r="E8" i="2"/>
  <c r="D8" i="2"/>
  <c r="C8" i="2"/>
  <c r="B8" i="2"/>
  <c r="N3" i="2"/>
  <c r="M3" i="2"/>
  <c r="L3" i="2"/>
  <c r="K3" i="2"/>
  <c r="J3" i="2"/>
  <c r="I3" i="2"/>
  <c r="H3" i="2"/>
  <c r="G3" i="2"/>
  <c r="F3" i="2"/>
  <c r="E3" i="2"/>
  <c r="D3" i="2"/>
  <c r="C3" i="2"/>
  <c r="B3" i="2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8" i="1"/>
  <c r="M8" i="1"/>
  <c r="L8" i="1"/>
  <c r="K8" i="1"/>
  <c r="J8" i="1"/>
  <c r="I8" i="1"/>
  <c r="H8" i="1"/>
  <c r="G8" i="1"/>
  <c r="F8" i="1"/>
  <c r="E8" i="1"/>
  <c r="D8" i="1"/>
  <c r="C8" i="1"/>
  <c r="B8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<sst xmlns="http://schemas.openxmlformats.org/spreadsheetml/2006/main" count="605" uniqueCount="124">
  <si>
    <t>Country and Product</t>
  </si>
  <si>
    <t>3/31/2025</t>
  </si>
  <si>
    <t>4/30/2025</t>
  </si>
  <si>
    <t>5/31/2025</t>
  </si>
  <si>
    <t>6/30/2025</t>
  </si>
  <si>
    <t>7/31/2025</t>
  </si>
  <si>
    <t>8/31/2025</t>
  </si>
  <si>
    <t>9/30/2025</t>
  </si>
  <si>
    <t>10/31/2025</t>
  </si>
  <si>
    <t>11/30/2025</t>
  </si>
  <si>
    <t>12/31/2025</t>
  </si>
  <si>
    <t>1/31/2026</t>
  </si>
  <si>
    <t>2/28/2026</t>
  </si>
  <si>
    <t>3/31/2026</t>
  </si>
  <si>
    <t>Bahrain</t>
  </si>
  <si>
    <t>Consumer Secured</t>
  </si>
  <si>
    <t>Consumer Unsecured</t>
  </si>
  <si>
    <t>SME Banking</t>
  </si>
  <si>
    <t>Wealth Banking</t>
  </si>
  <si>
    <t>China</t>
  </si>
  <si>
    <t>Falklands</t>
  </si>
  <si>
    <t>30+% By country and Product</t>
  </si>
  <si>
    <t>90+$ By country and Product</t>
  </si>
  <si>
    <t>90+% By country and Product</t>
  </si>
  <si>
    <t>30+$ By country and Product</t>
  </si>
  <si>
    <t>ENR By country and Product</t>
  </si>
  <si>
    <t>Total ENR</t>
  </si>
  <si>
    <t>GCO YTD % - Consumer Unsecured</t>
  </si>
  <si>
    <t>GCO YTD % - Consumer Secured</t>
  </si>
  <si>
    <t>Country</t>
  </si>
  <si>
    <t>Bangladesh</t>
  </si>
  <si>
    <t>Brunei</t>
  </si>
  <si>
    <t>GCO YTD % - Business Banking</t>
  </si>
  <si>
    <t>GCO YTD % - Wealth Banking</t>
  </si>
  <si>
    <t>PvB AWC in $mn</t>
  </si>
  <si>
    <t>Period(Month &amp; Year)</t>
  </si>
  <si>
    <t>LTV&gt;80Exc MIP</t>
  </si>
  <si>
    <t>LTV&gt;80 Excl MIP</t>
  </si>
  <si>
    <t>Group</t>
  </si>
  <si>
    <t>ME AWC in $mn</t>
  </si>
  <si>
    <t>ME EA (PP &amp; NPP) in $mn</t>
  </si>
  <si>
    <t>ME EA NPP in $mn</t>
  </si>
  <si>
    <t xml:space="preserve"> </t>
  </si>
  <si>
    <t>Country and Product level # of Monthly approved with policy exception L2</t>
  </si>
  <si>
    <t>Country and Product level # of Monthly approved with policy exception L3</t>
  </si>
  <si>
    <t xml:space="preserve">Country and Product Level - # of monthyl </t>
  </si>
  <si>
    <t>Country and Product Level approval rate</t>
  </si>
  <si>
    <t>ECL, IIP and LI in $mn</t>
  </si>
  <si>
    <t>Period</t>
  </si>
  <si>
    <t>Country Name</t>
  </si>
  <si>
    <t>Region</t>
  </si>
  <si>
    <t>Region Name</t>
  </si>
  <si>
    <t>Product Name</t>
  </si>
  <si>
    <t>Partnership Flag</t>
  </si>
  <si>
    <t>Segment</t>
  </si>
  <si>
    <t>Sec / Unsec</t>
  </si>
  <si>
    <t>Dimension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</si>
  <si>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</si>
  <si>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</si>
  <si>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</si>
  <si>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</si>
  <si>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</si>
  <si>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</si>
  <si>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</si>
  <si>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</si>
  <si>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</si>
  <si>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</si>
  <si>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</si>
  <si>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</si>
  <si>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 A</t>
  </si>
  <si>
    <t>2025 O</t>
  </si>
  <si>
    <t>AME &amp; E</t>
  </si>
  <si>
    <t>ASEAN</t>
  </si>
  <si>
    <t>MENAP</t>
  </si>
  <si>
    <t>Asia</t>
  </si>
  <si>
    <t>Total Products</t>
  </si>
  <si>
    <t>AUTO</t>
  </si>
  <si>
    <t>Mortgage</t>
  </si>
  <si>
    <t>N</t>
  </si>
  <si>
    <t>Y</t>
  </si>
  <si>
    <t>TY</t>
  </si>
  <si>
    <t>SME</t>
  </si>
  <si>
    <t>Unsecured</t>
  </si>
  <si>
    <t>Secured</t>
  </si>
  <si>
    <t>IIP</t>
  </si>
  <si>
    <t>ECL</t>
  </si>
  <si>
    <t>LI</t>
  </si>
  <si>
    <t>As of Mar'26</t>
  </si>
  <si>
    <t>% Portfolio (USD'M)</t>
  </si>
  <si>
    <t>CCPL</t>
  </si>
  <si>
    <t>Volatile</t>
  </si>
  <si>
    <t>Global</t>
  </si>
  <si>
    <t>KR</t>
  </si>
  <si>
    <t>HK</t>
  </si>
  <si>
    <t>TW</t>
  </si>
  <si>
    <t>CH</t>
  </si>
  <si>
    <t>SG</t>
  </si>
  <si>
    <t>MY</t>
  </si>
  <si>
    <t>ID</t>
  </si>
  <si>
    <t>IN</t>
  </si>
  <si>
    <t>UAE</t>
  </si>
  <si>
    <t>BW</t>
  </si>
  <si>
    <t>GH</t>
  </si>
  <si>
    <t>KE</t>
  </si>
  <si>
    <t>UG</t>
  </si>
  <si>
    <t>ZM</t>
  </si>
  <si>
    <t>BH</t>
  </si>
  <si>
    <t>VN</t>
  </si>
  <si>
    <t>BD</t>
  </si>
  <si>
    <t>AED</t>
  </si>
  <si>
    <t>BDT</t>
  </si>
  <si>
    <t>BHD</t>
  </si>
  <si>
    <t>INR</t>
  </si>
  <si>
    <t>HKD</t>
  </si>
  <si>
    <t>VND</t>
  </si>
  <si>
    <t>Mar 2026 - USD Rates</t>
  </si>
  <si>
    <t>Current PE</t>
  </si>
  <si>
    <t>UAE Dirham</t>
  </si>
  <si>
    <t>Afghani</t>
  </si>
  <si>
    <t>AFN</t>
  </si>
  <si>
    <t>Australian Dollar</t>
  </si>
  <si>
    <t>AUD</t>
  </si>
  <si>
    <t>RWA by Country and Product ($m)</t>
  </si>
  <si>
    <t>Total 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</si>
</sst>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9AC7-CBA1-49FC-8AE4-5C453CE27F9C}">
  <dimension ref="A1:N17"/>
  <sheetViews>
    <sheetView tabSelected="1" workbookViewId="0">
      <selection activeCell="O1" sqref="O1"/>
    </sheetView>
  </sheetViews>
  <sheetFormatPr defaultRowHeight="14.4" x14ac:dyDescent="0.3"/>
  <cols>
    <col min="1" max="1" width="17.554687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>
        <f t="shared" ref="B3:N3" si="0">SUM(B4:B7)</f>
        <v>2.5744203185548846</v>
      </c>
      <c r="C3">
        <f t="shared" si="0"/>
        <v>3.2931817071268226</v>
      </c>
      <c r="D3">
        <f t="shared" si="0"/>
        <v>2.6682918208733661</v>
      </c>
      <c r="E3">
        <f t="shared" si="0"/>
        <v>1.2509715691653842</v>
      </c>
      <c r="F3">
        <f t="shared" si="0"/>
        <v>2.669181001828115</v>
      </c>
      <c r="G3">
        <f t="shared" si="0"/>
        <v>1.2259604219803308</v>
      </c>
      <c r="H3">
        <f t="shared" si="0"/>
        <v>1.644929115603611</v>
      </c>
      <c r="I3">
        <f t="shared" si="0"/>
        <v>2.0636538667955469</v>
      </c>
      <c r="J3">
        <f t="shared" si="0"/>
        <v>1.7648749637808394</v>
      </c>
      <c r="K3">
        <f t="shared" si="0"/>
        <v>2.5241122285613247</v>
      </c>
      <c r="L3">
        <f t="shared" si="0"/>
        <v>1.9696572215592987</v>
      </c>
      <c r="M3">
        <f t="shared" si="0"/>
        <v>3.0257655903073259</v>
      </c>
      <c r="N3">
        <f t="shared" si="0"/>
        <v>0.89959164539216896</v>
      </c>
    </row>
    <row r="4" spans="1:14" x14ac:dyDescent="0.3">
      <c r="A4" t="s">
        <v>15</v>
      </c>
      <c r="B4">
        <v>0.16107037958324377</v>
      </c>
      <c r="C4">
        <v>0.94707499098196057</v>
      </c>
      <c r="D4">
        <v>0.96411248311952158</v>
      </c>
      <c r="E4">
        <v>1.4756335604728776E-2</v>
      </c>
      <c r="F4">
        <v>0.38216517155213858</v>
      </c>
      <c r="G4">
        <v>6.785557181690216E-2</v>
      </c>
      <c r="H4">
        <v>0.58803630017373854</v>
      </c>
      <c r="I4">
        <v>0.35632239178637615</v>
      </c>
      <c r="J4">
        <v>0.9504930153823401</v>
      </c>
      <c r="K4">
        <v>0.72950872410855083</v>
      </c>
      <c r="L4">
        <v>0.94007246583539739</v>
      </c>
      <c r="M4">
        <v>0.66555067488707742</v>
      </c>
      <c r="N4">
        <v>0.11470512712178615</v>
      </c>
    </row>
    <row r="5" spans="1:14" x14ac:dyDescent="0.3">
      <c r="A5" t="s">
        <v>16</v>
      </c>
      <c r="B5">
        <v>0.92003764589268677</v>
      </c>
      <c r="C5">
        <v>0.96618909320822077</v>
      </c>
      <c r="D5">
        <v>0.70123974093521269</v>
      </c>
      <c r="E5">
        <v>0.10596260135190605</v>
      </c>
      <c r="F5">
        <v>0.77255607008719462</v>
      </c>
      <c r="G5">
        <v>0.52944201813439595</v>
      </c>
      <c r="H5">
        <v>0.28168584725702484</v>
      </c>
      <c r="I5">
        <v>7.7201633003109782E-2</v>
      </c>
      <c r="J5">
        <v>0.41404021576866945</v>
      </c>
      <c r="K5">
        <v>0.17823827083870047</v>
      </c>
      <c r="L5">
        <v>0.57546934211644252</v>
      </c>
      <c r="M5">
        <v>0.85667682062480033</v>
      </c>
      <c r="N5">
        <v>0.63198406355610592</v>
      </c>
    </row>
    <row r="6" spans="1:14" x14ac:dyDescent="0.3">
      <c r="A6" t="s">
        <v>17</v>
      </c>
      <c r="B6">
        <v>0.85438444779581724</v>
      </c>
      <c r="C6">
        <v>0.47822464507543949</v>
      </c>
      <c r="D6">
        <v>0.81626923136433094</v>
      </c>
      <c r="E6">
        <v>0.31469077540739909</v>
      </c>
      <c r="F6">
        <v>0.79827020049992081</v>
      </c>
      <c r="G6">
        <v>0.43371097435054273</v>
      </c>
      <c r="H6">
        <v>0.64578217268414451</v>
      </c>
      <c r="I6">
        <v>0.99323691794940816</v>
      </c>
      <c r="J6">
        <v>0.25598489685481418</v>
      </c>
      <c r="K6">
        <v>0.65825665903965214</v>
      </c>
      <c r="L6">
        <v>0.2845915735312442</v>
      </c>
      <c r="M6">
        <v>0.67089696558404066</v>
      </c>
      <c r="N6">
        <v>1.7505169674120413E-2</v>
      </c>
    </row>
    <row r="7" spans="1:14" x14ac:dyDescent="0.3">
      <c r="A7" t="s">
        <v>18</v>
      </c>
      <c r="B7">
        <v>0.63892784528313651</v>
      </c>
      <c r="C7">
        <v>0.90169297786120162</v>
      </c>
      <c r="D7">
        <v>0.18667036545430082</v>
      </c>
      <c r="E7">
        <v>0.81556185680135029</v>
      </c>
      <c r="F7">
        <v>0.716189559688861</v>
      </c>
      <c r="G7">
        <v>0.19495185767848999</v>
      </c>
      <c r="H7">
        <v>0.12942479548870323</v>
      </c>
      <c r="I7">
        <v>0.63689292405665276</v>
      </c>
      <c r="J7">
        <v>0.14435683577501568</v>
      </c>
      <c r="K7">
        <v>0.95810857457442111</v>
      </c>
      <c r="L7">
        <v>0.16952384007621457</v>
      </c>
      <c r="M7">
        <v>0.83264112921140765</v>
      </c>
      <c r="N7">
        <v>0.13539728504015647</v>
      </c>
    </row>
    <row r="8" spans="1:14" x14ac:dyDescent="0.3">
      <c r="A8" t="s">
        <v>19</v>
      </c>
      <c r="B8">
        <f t="shared" ref="B8:N8" si="1">SUM(B9:B12)</f>
        <v>2.2082902077081359</v>
      </c>
      <c r="C8">
        <f t="shared" si="1"/>
        <v>1.605218686440117</v>
      </c>
      <c r="D8">
        <f t="shared" si="1"/>
        <v>2.1051799746321742</v>
      </c>
      <c r="E8">
        <f t="shared" si="1"/>
        <v>2.1367641918112552</v>
      </c>
      <c r="F8">
        <f t="shared" si="1"/>
        <v>2.2801876216617027</v>
      </c>
      <c r="G8">
        <f t="shared" si="1"/>
        <v>1.9136483978749665</v>
      </c>
      <c r="H8">
        <f t="shared" si="1"/>
        <v>2.1948800772141852</v>
      </c>
      <c r="I8">
        <f t="shared" si="1"/>
        <v>2.5516911861250651</v>
      </c>
      <c r="J8">
        <f t="shared" si="1"/>
        <v>1.4101184048142821</v>
      </c>
      <c r="K8">
        <f t="shared" si="1"/>
        <v>2.1210036938778352</v>
      </c>
      <c r="L8">
        <f t="shared" si="1"/>
        <v>2.1686919091276771</v>
      </c>
      <c r="M8">
        <f t="shared" si="1"/>
        <v>1.8532976530211012</v>
      </c>
      <c r="N8">
        <f t="shared" si="1"/>
        <v>1.9420780139970568</v>
      </c>
    </row>
    <row r="9" spans="1:14" x14ac:dyDescent="0.3">
      <c r="A9" t="s">
        <v>15</v>
      </c>
      <c r="B9">
        <v>0.83513383164917976</v>
      </c>
      <c r="C9">
        <v>0.22493499954681684</v>
      </c>
      <c r="D9">
        <v>0.63653503699003566</v>
      </c>
      <c r="E9">
        <v>0.75378589827450049</v>
      </c>
      <c r="F9">
        <v>6.3119985224117658E-2</v>
      </c>
      <c r="G9">
        <v>0.50655206200678438</v>
      </c>
      <c r="H9">
        <v>0.40855284409710291</v>
      </c>
      <c r="I9">
        <v>0.77653918301074776</v>
      </c>
      <c r="J9">
        <v>9.2429782968020957E-3</v>
      </c>
      <c r="K9">
        <v>0.49336871727698894</v>
      </c>
      <c r="L9">
        <v>0.27217687244180189</v>
      </c>
      <c r="M9">
        <v>0.84264790569124026</v>
      </c>
      <c r="N9">
        <v>0.1845668880661766</v>
      </c>
    </row>
    <row r="10" spans="1:14" x14ac:dyDescent="0.3">
      <c r="A10" t="s">
        <v>16</v>
      </c>
      <c r="B10">
        <v>0.7605919513394741</v>
      </c>
      <c r="C10">
        <v>0.32956267971307285</v>
      </c>
      <c r="D10">
        <v>0.46487786594638458</v>
      </c>
      <c r="E10">
        <v>0.83602009819096967</v>
      </c>
      <c r="F10">
        <v>0.57509468359279425</v>
      </c>
      <c r="G10">
        <v>0.63632130145607124</v>
      </c>
      <c r="H10">
        <v>0.37567858952312172</v>
      </c>
      <c r="I10">
        <v>0.54330082502433252</v>
      </c>
      <c r="J10">
        <v>0.94214533186898097</v>
      </c>
      <c r="K10">
        <v>0.48596463836395087</v>
      </c>
      <c r="L10">
        <v>0.39825037960395104</v>
      </c>
      <c r="M10">
        <v>0.37606023863839289</v>
      </c>
      <c r="N10">
        <v>0.99063477101351305</v>
      </c>
    </row>
    <row r="11" spans="1:14" x14ac:dyDescent="0.3">
      <c r="A11" t="s">
        <v>17</v>
      </c>
      <c r="B11">
        <v>0.1511347744030288</v>
      </c>
      <c r="C11">
        <v>0.55430456565627539</v>
      </c>
      <c r="D11">
        <v>0.43730230924557911</v>
      </c>
      <c r="E11">
        <v>0.33492399320404709</v>
      </c>
      <c r="F11">
        <v>0.96951397246231796</v>
      </c>
      <c r="G11">
        <v>0.21657867726923563</v>
      </c>
      <c r="H11">
        <v>0.68195195194820746</v>
      </c>
      <c r="I11">
        <v>0.92636342896998669</v>
      </c>
      <c r="J11">
        <v>0.21971491039484337</v>
      </c>
      <c r="K11">
        <v>0.3386074240208391</v>
      </c>
      <c r="L11">
        <v>0.9656610356530444</v>
      </c>
      <c r="M11">
        <v>0.45178878142996426</v>
      </c>
      <c r="N11">
        <v>0.13106178032799931</v>
      </c>
    </row>
    <row r="12" spans="1:14" x14ac:dyDescent="0.3">
      <c r="A12" t="s">
        <v>18</v>
      </c>
      <c r="B12">
        <v>0.46142965031645333</v>
      </c>
      <c r="C12">
        <v>0.49641644152395203</v>
      </c>
      <c r="D12">
        <v>0.56646476245017496</v>
      </c>
      <c r="E12">
        <v>0.21203420214173785</v>
      </c>
      <c r="F12">
        <v>0.67245898038247287</v>
      </c>
      <c r="G12">
        <v>0.5541963571428753</v>
      </c>
      <c r="H12">
        <v>0.72869669164575301</v>
      </c>
      <c r="I12">
        <v>0.30548774911999799</v>
      </c>
      <c r="J12">
        <v>0.23901518425365564</v>
      </c>
      <c r="K12">
        <v>0.80306291421605658</v>
      </c>
      <c r="L12">
        <v>0.53260362142888007</v>
      </c>
      <c r="M12">
        <v>0.18280072726150365</v>
      </c>
      <c r="N12">
        <v>0.63581457458936796</v>
      </c>
    </row>
    <row r="13" spans="1:14" x14ac:dyDescent="0.3">
      <c r="A13" t="s">
        <v>20</v>
      </c>
      <c r="B13">
        <f t="shared" ref="B13:N13" si="2">SUM(B14:B17)</f>
        <v>2.4052693378743326</v>
      </c>
      <c r="C13">
        <f t="shared" si="2"/>
        <v>0.70206202283549479</v>
      </c>
      <c r="D13">
        <f t="shared" si="2"/>
        <v>1.7197512047654957</v>
      </c>
      <c r="E13">
        <f t="shared" si="2"/>
        <v>1.6436821782295707</v>
      </c>
      <c r="F13">
        <f t="shared" si="2"/>
        <v>2.259636853989837</v>
      </c>
      <c r="G13">
        <f t="shared" si="2"/>
        <v>1.5203122443674908</v>
      </c>
      <c r="H13">
        <f t="shared" si="2"/>
        <v>2.3905248777565209</v>
      </c>
      <c r="I13">
        <f t="shared" si="2"/>
        <v>2.307026620020169</v>
      </c>
      <c r="J13">
        <f t="shared" si="2"/>
        <v>1.9452890395578812</v>
      </c>
      <c r="K13">
        <f t="shared" si="2"/>
        <v>1.8793008622180445</v>
      </c>
      <c r="L13">
        <f t="shared" si="2"/>
        <v>1.429876849530944</v>
      </c>
      <c r="M13">
        <f t="shared" si="2"/>
        <v>0.92131759752586528</v>
      </c>
      <c r="N13">
        <f t="shared" si="2"/>
        <v>1.6826270196965747</v>
      </c>
    </row>
    <row r="14" spans="1:14" x14ac:dyDescent="0.3">
      <c r="A14" t="s">
        <v>15</v>
      </c>
      <c r="B14">
        <v>0.60361437342399415</v>
      </c>
      <c r="C14">
        <v>0.33029298425543818</v>
      </c>
      <c r="D14">
        <v>0.77290981810215564</v>
      </c>
      <c r="E14">
        <v>2.7227750083151925E-2</v>
      </c>
      <c r="F14">
        <v>0.88237816306115058</v>
      </c>
      <c r="G14">
        <v>0.61871201264322084</v>
      </c>
      <c r="H14">
        <v>0.73222051245366748</v>
      </c>
      <c r="I14">
        <v>7.9578717576559432E-2</v>
      </c>
      <c r="J14">
        <v>0.51261589745281955</v>
      </c>
      <c r="K14">
        <v>0.66376473200725528</v>
      </c>
      <c r="L14">
        <v>6.2740716360838111E-2</v>
      </c>
      <c r="M14">
        <v>0.35168498671491855</v>
      </c>
      <c r="N14">
        <v>0.62738889649247265</v>
      </c>
    </row>
    <row r="15" spans="1:14" x14ac:dyDescent="0.3">
      <c r="A15" t="s">
        <v>16</v>
      </c>
      <c r="B15">
        <v>0.51112999265005254</v>
      </c>
      <c r="C15">
        <v>7.3718449360938298E-2</v>
      </c>
      <c r="D15">
        <v>0.12465299025121057</v>
      </c>
      <c r="E15">
        <v>0.67584251674941831</v>
      </c>
      <c r="F15">
        <v>0.39753659795966145</v>
      </c>
      <c r="G15">
        <v>0.44068725108810858</v>
      </c>
      <c r="H15">
        <v>0.39345826699770281</v>
      </c>
      <c r="I15">
        <v>0.52809768563067805</v>
      </c>
      <c r="J15">
        <v>0.37656156054423962</v>
      </c>
      <c r="K15">
        <v>0.15257123116243876</v>
      </c>
      <c r="L15">
        <v>0.38406563747000066</v>
      </c>
      <c r="M15">
        <v>0.214930997169687</v>
      </c>
      <c r="N15">
        <v>0.67855889485300502</v>
      </c>
    </row>
    <row r="16" spans="1:14" x14ac:dyDescent="0.3">
      <c r="A16" t="s">
        <v>17</v>
      </c>
      <c r="B16">
        <v>0.85369102838201227</v>
      </c>
      <c r="C16">
        <v>2.5250219262160423E-2</v>
      </c>
      <c r="D16">
        <v>0.65581748771052151</v>
      </c>
      <c r="E16">
        <v>0.57792559322976833</v>
      </c>
      <c r="F16">
        <v>0.56213680571680003</v>
      </c>
      <c r="G16">
        <v>2.771099263117871E-2</v>
      </c>
      <c r="H16">
        <v>0.72669345381627515</v>
      </c>
      <c r="I16">
        <v>0.88783361225016966</v>
      </c>
      <c r="J16">
        <v>0.66477077012123575</v>
      </c>
      <c r="K16">
        <v>0.91013341561563232</v>
      </c>
      <c r="L16">
        <v>0.62031431412436688</v>
      </c>
      <c r="M16">
        <v>3.9523384424048125E-2</v>
      </c>
      <c r="N16">
        <v>2.0481643957968698E-2</v>
      </c>
    </row>
    <row r="17" spans="1:14" x14ac:dyDescent="0.3">
      <c r="A17" t="s">
        <v>18</v>
      </c>
      <c r="B17">
        <v>0.43683394341827375</v>
      </c>
      <c r="C17">
        <v>0.27280036995695789</v>
      </c>
      <c r="D17">
        <v>0.16637090870160787</v>
      </c>
      <c r="E17">
        <v>0.36268631816723229</v>
      </c>
      <c r="F17">
        <v>0.41758528725222488</v>
      </c>
      <c r="G17">
        <v>0.43320198800498255</v>
      </c>
      <c r="H17">
        <v>0.53815264448887523</v>
      </c>
      <c r="I17">
        <v>0.81151660456276198</v>
      </c>
      <c r="J17">
        <v>0.39134081143958632</v>
      </c>
      <c r="K17">
        <v>0.15283148343271802</v>
      </c>
      <c r="L17">
        <v>0.36275618157573819</v>
      </c>
      <c r="M17">
        <v>0.31517822921721161</v>
      </c>
      <c r="N17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FE21-B155-4ADC-A7E3-8EB549716430}">
  <dimension ref="A1:N17"/>
  <sheetViews>
    <sheetView workbookViewId="0">
      <selection activeCell="O1" sqref="O1"/>
    </sheetView>
  </sheetViews>
  <sheetFormatPr defaultRowHeight="14.4" x14ac:dyDescent="0.3"/>
  <cols>
    <col min="1" max="1" width="17.5546875" customWidth="1"/>
  </cols>
  <sheetData>
    <row r="1" spans="1:14" x14ac:dyDescent="0.3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>
        <f t="shared" ref="B3:N3" si="0">SUM(B4:B7)</f>
        <v>2.5744203185548846</v>
      </c>
      <c r="C3">
        <f t="shared" si="0"/>
        <v>3.2931817071268226</v>
      </c>
      <c r="D3">
        <f t="shared" si="0"/>
        <v>2.6682918208733661</v>
      </c>
      <c r="E3">
        <f t="shared" si="0"/>
        <v>1.2509715691653842</v>
      </c>
      <c r="F3">
        <f t="shared" si="0"/>
        <v>2.669181001828115</v>
      </c>
      <c r="G3">
        <f t="shared" si="0"/>
        <v>1.2259604219803308</v>
      </c>
      <c r="H3">
        <f t="shared" si="0"/>
        <v>1.644929115603611</v>
      </c>
      <c r="I3">
        <f t="shared" si="0"/>
        <v>2.0636538667955469</v>
      </c>
      <c r="J3">
        <f t="shared" si="0"/>
        <v>1.7648749637808394</v>
      </c>
      <c r="K3">
        <f t="shared" si="0"/>
        <v>2.5241122285613247</v>
      </c>
      <c r="L3">
        <f t="shared" si="0"/>
        <v>1.9696572215592987</v>
      </c>
      <c r="M3">
        <f t="shared" si="0"/>
        <v>3.0257655903073259</v>
      </c>
      <c r="N3">
        <f t="shared" si="0"/>
        <v>0.89959164539216896</v>
      </c>
    </row>
    <row r="4" spans="1:14" x14ac:dyDescent="0.3">
      <c r="A4" t="s">
        <v>15</v>
      </c>
      <c r="B4">
        <v>0.16107037958324377</v>
      </c>
      <c r="C4">
        <v>0.94707499098196057</v>
      </c>
      <c r="D4">
        <v>0.96411248311952158</v>
      </c>
      <c r="E4">
        <v>1.4756335604728776E-2</v>
      </c>
      <c r="F4">
        <v>0.38216517155213858</v>
      </c>
      <c r="G4">
        <v>6.785557181690216E-2</v>
      </c>
      <c r="H4">
        <v>0.58803630017373854</v>
      </c>
      <c r="I4">
        <v>0.35632239178637615</v>
      </c>
      <c r="J4">
        <v>0.9504930153823401</v>
      </c>
      <c r="K4">
        <v>0.72950872410855083</v>
      </c>
      <c r="L4">
        <v>0.94007246583539739</v>
      </c>
      <c r="M4">
        <v>0.66555067488707742</v>
      </c>
      <c r="N4">
        <v>0.11470512712178615</v>
      </c>
    </row>
    <row r="5" spans="1:14" x14ac:dyDescent="0.3">
      <c r="A5" t="s">
        <v>16</v>
      </c>
      <c r="B5">
        <v>0.92003764589268677</v>
      </c>
      <c r="C5">
        <v>0.96618909320822077</v>
      </c>
      <c r="D5">
        <v>0.70123974093521269</v>
      </c>
      <c r="E5">
        <v>0.10596260135190605</v>
      </c>
      <c r="F5">
        <v>0.77255607008719462</v>
      </c>
      <c r="G5">
        <v>0.52944201813439595</v>
      </c>
      <c r="H5">
        <v>0.28168584725702484</v>
      </c>
      <c r="I5">
        <v>7.7201633003109782E-2</v>
      </c>
      <c r="J5">
        <v>0.41404021576866945</v>
      </c>
      <c r="K5">
        <v>0.17823827083870047</v>
      </c>
      <c r="L5">
        <v>0.57546934211644252</v>
      </c>
      <c r="M5">
        <v>0.85667682062480033</v>
      </c>
      <c r="N5">
        <v>0.63198406355610592</v>
      </c>
    </row>
    <row r="6" spans="1:14" x14ac:dyDescent="0.3">
      <c r="A6" t="s">
        <v>17</v>
      </c>
      <c r="B6">
        <v>0.85438444779581724</v>
      </c>
      <c r="C6">
        <v>0.47822464507543949</v>
      </c>
      <c r="D6">
        <v>0.81626923136433094</v>
      </c>
      <c r="E6">
        <v>0.31469077540739909</v>
      </c>
      <c r="F6">
        <v>0.79827020049992081</v>
      </c>
      <c r="G6">
        <v>0.43371097435054273</v>
      </c>
      <c r="H6">
        <v>0.64578217268414451</v>
      </c>
      <c r="I6">
        <v>0.99323691794940816</v>
      </c>
      <c r="J6">
        <v>0.25598489685481418</v>
      </c>
      <c r="K6">
        <v>0.65825665903965214</v>
      </c>
      <c r="L6">
        <v>0.2845915735312442</v>
      </c>
      <c r="M6">
        <v>0.67089696558404066</v>
      </c>
      <c r="N6">
        <v>1.7505169674120413E-2</v>
      </c>
    </row>
    <row r="7" spans="1:14" x14ac:dyDescent="0.3">
      <c r="A7" t="s">
        <v>18</v>
      </c>
      <c r="B7">
        <v>0.63892784528313651</v>
      </c>
      <c r="C7">
        <v>0.90169297786120162</v>
      </c>
      <c r="D7">
        <v>0.18667036545430082</v>
      </c>
      <c r="E7">
        <v>0.81556185680135029</v>
      </c>
      <c r="F7">
        <v>0.716189559688861</v>
      </c>
      <c r="G7">
        <v>0.19495185767848999</v>
      </c>
      <c r="H7">
        <v>0.12942479548870323</v>
      </c>
      <c r="I7">
        <v>0.63689292405665276</v>
      </c>
      <c r="J7">
        <v>0.14435683577501568</v>
      </c>
      <c r="K7">
        <v>0.95810857457442111</v>
      </c>
      <c r="L7">
        <v>0.16952384007621457</v>
      </c>
      <c r="M7">
        <v>0.83264112921140765</v>
      </c>
      <c r="N7">
        <v>0.13539728504015647</v>
      </c>
    </row>
    <row r="8" spans="1:14" x14ac:dyDescent="0.3">
      <c r="A8" t="s">
        <v>19</v>
      </c>
      <c r="B8">
        <f t="shared" ref="B8:N8" si="1">SUM(B9:B12)</f>
        <v>2.2082902077081359</v>
      </c>
      <c r="C8">
        <f t="shared" si="1"/>
        <v>1.605218686440117</v>
      </c>
      <c r="D8">
        <f t="shared" si="1"/>
        <v>2.1051799746321742</v>
      </c>
      <c r="E8">
        <f t="shared" si="1"/>
        <v>2.1367641918112552</v>
      </c>
      <c r="F8">
        <f t="shared" si="1"/>
        <v>2.2801876216617027</v>
      </c>
      <c r="G8">
        <f t="shared" si="1"/>
        <v>1.9136483978749665</v>
      </c>
      <c r="H8">
        <f t="shared" si="1"/>
        <v>2.1948800772141852</v>
      </c>
      <c r="I8">
        <f t="shared" si="1"/>
        <v>2.5516911861250651</v>
      </c>
      <c r="J8">
        <f t="shared" si="1"/>
        <v>1.4101184048142821</v>
      </c>
      <c r="K8">
        <f t="shared" si="1"/>
        <v>2.1210036938778352</v>
      </c>
      <c r="L8">
        <f t="shared" si="1"/>
        <v>2.1686919091276771</v>
      </c>
      <c r="M8">
        <f t="shared" si="1"/>
        <v>1.8532976530211012</v>
      </c>
      <c r="N8">
        <f t="shared" si="1"/>
        <v>1.9420780139970568</v>
      </c>
    </row>
    <row r="9" spans="1:14" x14ac:dyDescent="0.3">
      <c r="A9" t="s">
        <v>15</v>
      </c>
      <c r="B9">
        <v>0.83513383164917976</v>
      </c>
      <c r="C9">
        <v>0.22493499954681684</v>
      </c>
      <c r="D9">
        <v>0.63653503699003566</v>
      </c>
      <c r="E9">
        <v>0.75378589827450049</v>
      </c>
      <c r="F9">
        <v>6.3119985224117658E-2</v>
      </c>
      <c r="G9">
        <v>0.50655206200678438</v>
      </c>
      <c r="H9">
        <v>0.40855284409710291</v>
      </c>
      <c r="I9">
        <v>0.77653918301074776</v>
      </c>
      <c r="J9">
        <v>9.2429782968020957E-3</v>
      </c>
      <c r="K9">
        <v>0.49336871727698894</v>
      </c>
      <c r="L9">
        <v>0.27217687244180189</v>
      </c>
      <c r="M9">
        <v>0.84264790569124026</v>
      </c>
      <c r="N9">
        <v>0.1845668880661766</v>
      </c>
    </row>
    <row r="10" spans="1:14" x14ac:dyDescent="0.3">
      <c r="A10" t="s">
        <v>16</v>
      </c>
      <c r="B10">
        <v>0.7605919513394741</v>
      </c>
      <c r="C10">
        <v>0.32956267971307285</v>
      </c>
      <c r="D10">
        <v>0.46487786594638458</v>
      </c>
      <c r="E10">
        <v>0.83602009819096967</v>
      </c>
      <c r="F10">
        <v>0.57509468359279425</v>
      </c>
      <c r="G10">
        <v>0.63632130145607124</v>
      </c>
      <c r="H10">
        <v>0.37567858952312172</v>
      </c>
      <c r="I10">
        <v>0.54330082502433252</v>
      </c>
      <c r="J10">
        <v>0.94214533186898097</v>
      </c>
      <c r="K10">
        <v>0.48596463836395087</v>
      </c>
      <c r="L10">
        <v>0.39825037960395104</v>
      </c>
      <c r="M10">
        <v>0.37606023863839289</v>
      </c>
      <c r="N10">
        <v>0.99063477101351305</v>
      </c>
    </row>
    <row r="11" spans="1:14" x14ac:dyDescent="0.3">
      <c r="A11" t="s">
        <v>17</v>
      </c>
      <c r="B11">
        <v>0.1511347744030288</v>
      </c>
      <c r="C11">
        <v>0.55430456565627539</v>
      </c>
      <c r="D11">
        <v>0.43730230924557911</v>
      </c>
      <c r="E11">
        <v>0.33492399320404709</v>
      </c>
      <c r="F11">
        <v>0.96951397246231796</v>
      </c>
      <c r="G11">
        <v>0.21657867726923563</v>
      </c>
      <c r="H11">
        <v>0.68195195194820746</v>
      </c>
      <c r="I11">
        <v>0.92636342896998669</v>
      </c>
      <c r="J11">
        <v>0.21971491039484337</v>
      </c>
      <c r="K11">
        <v>0.3386074240208391</v>
      </c>
      <c r="L11">
        <v>0.9656610356530444</v>
      </c>
      <c r="M11">
        <v>0.45178878142996426</v>
      </c>
      <c r="N11">
        <v>0.13106178032799931</v>
      </c>
    </row>
    <row r="12" spans="1:14" x14ac:dyDescent="0.3">
      <c r="A12" t="s">
        <v>18</v>
      </c>
      <c r="B12">
        <v>0.46142965031645333</v>
      </c>
      <c r="C12">
        <v>0.49641644152395203</v>
      </c>
      <c r="D12">
        <v>0.56646476245017496</v>
      </c>
      <c r="E12">
        <v>0.21203420214173785</v>
      </c>
      <c r="F12">
        <v>0.67245898038247287</v>
      </c>
      <c r="G12">
        <v>0.5541963571428753</v>
      </c>
      <c r="H12">
        <v>0.72869669164575301</v>
      </c>
      <c r="I12">
        <v>0.30548774911999799</v>
      </c>
      <c r="J12">
        <v>0.23901518425365564</v>
      </c>
      <c r="K12">
        <v>0.80306291421605658</v>
      </c>
      <c r="L12">
        <v>0.53260362142888007</v>
      </c>
      <c r="M12">
        <v>0.18280072726150365</v>
      </c>
      <c r="N12">
        <v>0.63581457458936796</v>
      </c>
    </row>
    <row r="13" spans="1:14" x14ac:dyDescent="0.3">
      <c r="A13" t="s">
        <v>20</v>
      </c>
      <c r="B13">
        <f t="shared" ref="B13:N13" si="2">SUM(B14:B17)</f>
        <v>2.4052693378743326</v>
      </c>
      <c r="C13">
        <f t="shared" si="2"/>
        <v>0.70206202283549479</v>
      </c>
      <c r="D13">
        <f t="shared" si="2"/>
        <v>1.7197512047654957</v>
      </c>
      <c r="E13">
        <f t="shared" si="2"/>
        <v>1.6436821782295707</v>
      </c>
      <c r="F13">
        <f t="shared" si="2"/>
        <v>2.259636853989837</v>
      </c>
      <c r="G13">
        <f t="shared" si="2"/>
        <v>1.5203122443674908</v>
      </c>
      <c r="H13">
        <f t="shared" si="2"/>
        <v>2.3905248777565209</v>
      </c>
      <c r="I13">
        <f t="shared" si="2"/>
        <v>2.307026620020169</v>
      </c>
      <c r="J13">
        <f t="shared" si="2"/>
        <v>1.9452890395578812</v>
      </c>
      <c r="K13">
        <f t="shared" si="2"/>
        <v>1.8793008622180445</v>
      </c>
      <c r="L13">
        <f t="shared" si="2"/>
        <v>1.429876849530944</v>
      </c>
      <c r="M13">
        <f t="shared" si="2"/>
        <v>0.92131759752586528</v>
      </c>
      <c r="N13">
        <f t="shared" si="2"/>
        <v>1.6826270196965747</v>
      </c>
    </row>
    <row r="14" spans="1:14" x14ac:dyDescent="0.3">
      <c r="A14" t="s">
        <v>15</v>
      </c>
      <c r="B14">
        <v>0.60361437342399415</v>
      </c>
      <c r="C14">
        <v>0.33029298425543818</v>
      </c>
      <c r="D14">
        <v>0.77290981810215564</v>
      </c>
      <c r="E14">
        <v>2.7227750083151925E-2</v>
      </c>
      <c r="F14">
        <v>0.88237816306115058</v>
      </c>
      <c r="G14">
        <v>0.61871201264322084</v>
      </c>
      <c r="H14">
        <v>0.73222051245366748</v>
      </c>
      <c r="I14">
        <v>7.9578717576559432E-2</v>
      </c>
      <c r="J14">
        <v>0.51261589745281955</v>
      </c>
      <c r="K14">
        <v>0.66376473200725528</v>
      </c>
      <c r="L14">
        <v>6.2740716360838111E-2</v>
      </c>
      <c r="M14">
        <v>0.35168498671491855</v>
      </c>
      <c r="N14">
        <v>0.62738889649247265</v>
      </c>
    </row>
    <row r="15" spans="1:14" x14ac:dyDescent="0.3">
      <c r="A15" t="s">
        <v>16</v>
      </c>
      <c r="B15">
        <v>0.51112999265005254</v>
      </c>
      <c r="C15">
        <v>7.3718449360938298E-2</v>
      </c>
      <c r="D15">
        <v>0.12465299025121057</v>
      </c>
      <c r="E15">
        <v>0.67584251674941831</v>
      </c>
      <c r="F15">
        <v>0.39753659795966145</v>
      </c>
      <c r="G15">
        <v>0.44068725108810858</v>
      </c>
      <c r="H15">
        <v>0.39345826699770281</v>
      </c>
      <c r="I15">
        <v>0.52809768563067805</v>
      </c>
      <c r="J15">
        <v>0.37656156054423962</v>
      </c>
      <c r="K15">
        <v>0.15257123116243876</v>
      </c>
      <c r="L15">
        <v>0.38406563747000066</v>
      </c>
      <c r="M15">
        <v>0.214930997169687</v>
      </c>
      <c r="N15">
        <v>0.67855889485300502</v>
      </c>
    </row>
    <row r="16" spans="1:14" x14ac:dyDescent="0.3">
      <c r="A16" t="s">
        <v>17</v>
      </c>
      <c r="B16">
        <v>0.85369102838201227</v>
      </c>
      <c r="C16">
        <v>2.5250219262160423E-2</v>
      </c>
      <c r="D16">
        <v>0.65581748771052151</v>
      </c>
      <c r="E16">
        <v>0.57792559322976833</v>
      </c>
      <c r="F16">
        <v>0.56213680571680003</v>
      </c>
      <c r="G16">
        <v>2.771099263117871E-2</v>
      </c>
      <c r="H16">
        <v>0.72669345381627515</v>
      </c>
      <c r="I16">
        <v>0.88783361225016966</v>
      </c>
      <c r="J16">
        <v>0.66477077012123575</v>
      </c>
      <c r="K16">
        <v>0.91013341561563232</v>
      </c>
      <c r="L16">
        <v>0.62031431412436688</v>
      </c>
      <c r="M16">
        <v>3.9523384424048125E-2</v>
      </c>
      <c r="N16">
        <v>2.0481643957968698E-2</v>
      </c>
    </row>
    <row r="17" spans="1:14" x14ac:dyDescent="0.3">
      <c r="A17" t="s">
        <v>18</v>
      </c>
      <c r="B17">
        <v>0.43683394341827375</v>
      </c>
      <c r="C17">
        <v>0.27280036995695789</v>
      </c>
      <c r="D17">
        <v>0.16637090870160787</v>
      </c>
      <c r="E17">
        <v>0.36268631816723229</v>
      </c>
      <c r="F17">
        <v>0.41758528725222488</v>
      </c>
      <c r="G17">
        <v>0.43320198800498255</v>
      </c>
      <c r="H17">
        <v>0.53815264448887523</v>
      </c>
      <c r="I17">
        <v>0.81151660456276198</v>
      </c>
      <c r="J17">
        <v>0.39134081143958632</v>
      </c>
      <c r="K17">
        <v>0.15283148343271802</v>
      </c>
      <c r="L17">
        <v>0.36275618157573819</v>
      </c>
      <c r="M17">
        <v>0.31517822921721161</v>
      </c>
      <c r="N17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B92A-D734-4254-8DA6-85BCBE50D4A9}">
  <dimension ref="A1:N17"/>
  <sheetViews>
    <sheetView workbookViewId="0">
      <selection sqref="A1:N17"/>
    </sheetView>
  </sheetViews>
  <sheetFormatPr defaultRowHeight="14.4" x14ac:dyDescent="0.3"/>
  <cols>
    <col min="1" max="1" width="17.5546875" customWidth="1"/>
  </cols>
  <sheetData>
    <row r="1" spans="1:14" x14ac:dyDescent="0.3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>
        <f t="shared" ref="B3:N3" si="0">SUM(B4:B7)</f>
        <v>2.5744203185548846</v>
      </c>
      <c r="C3">
        <f t="shared" si="0"/>
        <v>3.2931817071268226</v>
      </c>
      <c r="D3">
        <f t="shared" si="0"/>
        <v>2.6682918208733661</v>
      </c>
      <c r="E3">
        <f t="shared" si="0"/>
        <v>1.2509715691653842</v>
      </c>
      <c r="F3">
        <f t="shared" si="0"/>
        <v>2.669181001828115</v>
      </c>
      <c r="G3">
        <f t="shared" si="0"/>
        <v>1.2259604219803308</v>
      </c>
      <c r="H3">
        <f t="shared" si="0"/>
        <v>1.644929115603611</v>
      </c>
      <c r="I3">
        <f t="shared" si="0"/>
        <v>2.0636538667955469</v>
      </c>
      <c r="J3">
        <f t="shared" si="0"/>
        <v>1.7648749637808394</v>
      </c>
      <c r="K3">
        <f t="shared" si="0"/>
        <v>2.5241122285613247</v>
      </c>
      <c r="L3">
        <f t="shared" si="0"/>
        <v>1.9696572215592987</v>
      </c>
      <c r="M3">
        <f t="shared" si="0"/>
        <v>3.0257655903073259</v>
      </c>
      <c r="N3">
        <f t="shared" si="0"/>
        <v>0.89959164539216896</v>
      </c>
    </row>
    <row r="4" spans="1:14" x14ac:dyDescent="0.3">
      <c r="A4" t="s">
        <v>15</v>
      </c>
      <c r="B4">
        <v>0.16107037958324377</v>
      </c>
      <c r="C4">
        <v>0.94707499098196057</v>
      </c>
      <c r="D4">
        <v>0.96411248311952158</v>
      </c>
      <c r="E4">
        <v>1.4756335604728776E-2</v>
      </c>
      <c r="F4">
        <v>0.38216517155213858</v>
      </c>
      <c r="G4">
        <v>6.785557181690216E-2</v>
      </c>
      <c r="H4">
        <v>0.58803630017373854</v>
      </c>
      <c r="I4">
        <v>0.35632239178637615</v>
      </c>
      <c r="J4">
        <v>0.9504930153823401</v>
      </c>
      <c r="K4">
        <v>0.72950872410855083</v>
      </c>
      <c r="L4">
        <v>0.94007246583539739</v>
      </c>
      <c r="M4">
        <v>0.66555067488707742</v>
      </c>
      <c r="N4">
        <v>0.11470512712178615</v>
      </c>
    </row>
    <row r="5" spans="1:14" x14ac:dyDescent="0.3">
      <c r="A5" t="s">
        <v>16</v>
      </c>
      <c r="B5">
        <v>0.92003764589268677</v>
      </c>
      <c r="C5">
        <v>0.96618909320822077</v>
      </c>
      <c r="D5">
        <v>0.70123974093521269</v>
      </c>
      <c r="E5">
        <v>0.10596260135190605</v>
      </c>
      <c r="F5">
        <v>0.77255607008719462</v>
      </c>
      <c r="G5">
        <v>0.52944201813439595</v>
      </c>
      <c r="H5">
        <v>0.28168584725702484</v>
      </c>
      <c r="I5">
        <v>7.7201633003109782E-2</v>
      </c>
      <c r="J5">
        <v>0.41404021576866945</v>
      </c>
      <c r="K5">
        <v>0.17823827083870047</v>
      </c>
      <c r="L5">
        <v>0.57546934211644252</v>
      </c>
      <c r="M5">
        <v>0.85667682062480033</v>
      </c>
      <c r="N5">
        <v>0.63198406355610592</v>
      </c>
    </row>
    <row r="6" spans="1:14" x14ac:dyDescent="0.3">
      <c r="A6" t="s">
        <v>17</v>
      </c>
      <c r="B6">
        <v>0.85438444779581724</v>
      </c>
      <c r="C6">
        <v>0.47822464507543949</v>
      </c>
      <c r="D6">
        <v>0.81626923136433094</v>
      </c>
      <c r="E6">
        <v>0.31469077540739909</v>
      </c>
      <c r="F6">
        <v>0.79827020049992081</v>
      </c>
      <c r="G6">
        <v>0.43371097435054273</v>
      </c>
      <c r="H6">
        <v>0.64578217268414451</v>
      </c>
      <c r="I6">
        <v>0.99323691794940816</v>
      </c>
      <c r="J6">
        <v>0.25598489685481418</v>
      </c>
      <c r="K6">
        <v>0.65825665903965214</v>
      </c>
      <c r="L6">
        <v>0.2845915735312442</v>
      </c>
      <c r="M6">
        <v>0.67089696558404066</v>
      </c>
      <c r="N6">
        <v>1.7505169674120413E-2</v>
      </c>
    </row>
    <row r="7" spans="1:14" x14ac:dyDescent="0.3">
      <c r="A7" t="s">
        <v>18</v>
      </c>
      <c r="B7">
        <v>0.63892784528313651</v>
      </c>
      <c r="C7">
        <v>0.90169297786120162</v>
      </c>
      <c r="D7">
        <v>0.18667036545430082</v>
      </c>
      <c r="E7">
        <v>0.81556185680135029</v>
      </c>
      <c r="F7">
        <v>0.716189559688861</v>
      </c>
      <c r="G7">
        <v>0.19495185767848999</v>
      </c>
      <c r="H7">
        <v>0.12942479548870323</v>
      </c>
      <c r="I7">
        <v>0.63689292405665276</v>
      </c>
      <c r="J7">
        <v>0.14435683577501568</v>
      </c>
      <c r="K7">
        <v>0.95810857457442111</v>
      </c>
      <c r="L7">
        <v>0.16952384007621457</v>
      </c>
      <c r="M7">
        <v>0.83264112921140765</v>
      </c>
      <c r="N7">
        <v>0.13539728504015647</v>
      </c>
    </row>
    <row r="8" spans="1:14" x14ac:dyDescent="0.3">
      <c r="A8" t="s">
        <v>19</v>
      </c>
      <c r="B8">
        <f t="shared" ref="B8:N8" si="1">SUM(B9:B12)</f>
        <v>2.2082902077081359</v>
      </c>
      <c r="C8">
        <f t="shared" si="1"/>
        <v>1.605218686440117</v>
      </c>
      <c r="D8">
        <f t="shared" si="1"/>
        <v>2.1051799746321742</v>
      </c>
      <c r="E8">
        <f t="shared" si="1"/>
        <v>2.1367641918112552</v>
      </c>
      <c r="F8">
        <f t="shared" si="1"/>
        <v>2.2801876216617027</v>
      </c>
      <c r="G8">
        <f t="shared" si="1"/>
        <v>1.9136483978749665</v>
      </c>
      <c r="H8">
        <f t="shared" si="1"/>
        <v>2.1948800772141852</v>
      </c>
      <c r="I8">
        <f t="shared" si="1"/>
        <v>2.5516911861250651</v>
      </c>
      <c r="J8">
        <f t="shared" si="1"/>
        <v>1.4101184048142821</v>
      </c>
      <c r="K8">
        <f t="shared" si="1"/>
        <v>2.1210036938778352</v>
      </c>
      <c r="L8">
        <f t="shared" si="1"/>
        <v>2.1686919091276771</v>
      </c>
      <c r="M8">
        <f t="shared" si="1"/>
        <v>1.8532976530211012</v>
      </c>
      <c r="N8">
        <f t="shared" si="1"/>
        <v>1.9420780139970568</v>
      </c>
    </row>
    <row r="9" spans="1:14" x14ac:dyDescent="0.3">
      <c r="A9" t="s">
        <v>15</v>
      </c>
      <c r="B9">
        <v>0.83513383164917976</v>
      </c>
      <c r="C9">
        <v>0.22493499954681684</v>
      </c>
      <c r="D9">
        <v>0.63653503699003566</v>
      </c>
      <c r="E9">
        <v>0.75378589827450049</v>
      </c>
      <c r="F9">
        <v>6.3119985224117658E-2</v>
      </c>
      <c r="G9">
        <v>0.50655206200678438</v>
      </c>
      <c r="H9">
        <v>0.40855284409710291</v>
      </c>
      <c r="I9">
        <v>0.77653918301074776</v>
      </c>
      <c r="J9">
        <v>9.2429782968020957E-3</v>
      </c>
      <c r="K9">
        <v>0.49336871727698894</v>
      </c>
      <c r="L9">
        <v>0.27217687244180189</v>
      </c>
      <c r="M9">
        <v>0.84264790569124026</v>
      </c>
      <c r="N9">
        <v>0.1845668880661766</v>
      </c>
    </row>
    <row r="10" spans="1:14" x14ac:dyDescent="0.3">
      <c r="A10" t="s">
        <v>16</v>
      </c>
      <c r="B10">
        <v>0.7605919513394741</v>
      </c>
      <c r="C10">
        <v>0.32956267971307285</v>
      </c>
      <c r="D10">
        <v>0.46487786594638458</v>
      </c>
      <c r="E10">
        <v>0.83602009819096967</v>
      </c>
      <c r="F10">
        <v>0.57509468359279425</v>
      </c>
      <c r="G10">
        <v>0.63632130145607124</v>
      </c>
      <c r="H10">
        <v>0.37567858952312172</v>
      </c>
      <c r="I10">
        <v>0.54330082502433252</v>
      </c>
      <c r="J10">
        <v>0.94214533186898097</v>
      </c>
      <c r="K10">
        <v>0.48596463836395087</v>
      </c>
      <c r="L10">
        <v>0.39825037960395104</v>
      </c>
      <c r="M10">
        <v>0.37606023863839289</v>
      </c>
      <c r="N10">
        <v>0.99063477101351305</v>
      </c>
    </row>
    <row r="11" spans="1:14" x14ac:dyDescent="0.3">
      <c r="A11" t="s">
        <v>17</v>
      </c>
      <c r="B11">
        <v>0.1511347744030288</v>
      </c>
      <c r="C11">
        <v>0.55430456565627539</v>
      </c>
      <c r="D11">
        <v>0.43730230924557911</v>
      </c>
      <c r="E11">
        <v>0.33492399320404709</v>
      </c>
      <c r="F11">
        <v>0.96951397246231796</v>
      </c>
      <c r="G11">
        <v>0.21657867726923563</v>
      </c>
      <c r="H11">
        <v>0.68195195194820746</v>
      </c>
      <c r="I11">
        <v>0.92636342896998669</v>
      </c>
      <c r="J11">
        <v>0.21971491039484337</v>
      </c>
      <c r="K11">
        <v>0.3386074240208391</v>
      </c>
      <c r="L11">
        <v>0.9656610356530444</v>
      </c>
      <c r="M11">
        <v>0.45178878142996426</v>
      </c>
      <c r="N11">
        <v>0.13106178032799931</v>
      </c>
    </row>
    <row r="12" spans="1:14" x14ac:dyDescent="0.3">
      <c r="A12" t="s">
        <v>18</v>
      </c>
      <c r="B12">
        <v>0.46142965031645333</v>
      </c>
      <c r="C12">
        <v>0.49641644152395203</v>
      </c>
      <c r="D12">
        <v>0.56646476245017496</v>
      </c>
      <c r="E12">
        <v>0.21203420214173785</v>
      </c>
      <c r="F12">
        <v>0.67245898038247287</v>
      </c>
      <c r="G12">
        <v>0.5541963571428753</v>
      </c>
      <c r="H12">
        <v>0.72869669164575301</v>
      </c>
      <c r="I12">
        <v>0.30548774911999799</v>
      </c>
      <c r="J12">
        <v>0.23901518425365564</v>
      </c>
      <c r="K12">
        <v>0.80306291421605658</v>
      </c>
      <c r="L12">
        <v>0.53260362142888007</v>
      </c>
      <c r="M12">
        <v>0.18280072726150365</v>
      </c>
      <c r="N12">
        <v>0.63581457458936796</v>
      </c>
    </row>
    <row r="13" spans="1:14" x14ac:dyDescent="0.3">
      <c r="A13" t="s">
        <v>20</v>
      </c>
      <c r="B13">
        <f t="shared" ref="B13:N13" si="2">SUM(B14:B17)</f>
        <v>2.4052693378743326</v>
      </c>
      <c r="C13">
        <f t="shared" si="2"/>
        <v>0.70206202283549479</v>
      </c>
      <c r="D13">
        <f t="shared" si="2"/>
        <v>1.7197512047654957</v>
      </c>
      <c r="E13">
        <f t="shared" si="2"/>
        <v>1.6436821782295707</v>
      </c>
      <c r="F13">
        <f t="shared" si="2"/>
        <v>2.259636853989837</v>
      </c>
      <c r="G13">
        <f t="shared" si="2"/>
        <v>1.5203122443674908</v>
      </c>
      <c r="H13">
        <f t="shared" si="2"/>
        <v>2.3905248777565209</v>
      </c>
      <c r="I13">
        <f t="shared" si="2"/>
        <v>2.307026620020169</v>
      </c>
      <c r="J13">
        <f t="shared" si="2"/>
        <v>1.9452890395578812</v>
      </c>
      <c r="K13">
        <f t="shared" si="2"/>
        <v>1.8793008622180445</v>
      </c>
      <c r="L13">
        <f t="shared" si="2"/>
        <v>1.429876849530944</v>
      </c>
      <c r="M13">
        <f t="shared" si="2"/>
        <v>0.92131759752586528</v>
      </c>
      <c r="N13">
        <f t="shared" si="2"/>
        <v>1.6826270196965747</v>
      </c>
    </row>
    <row r="14" spans="1:14" x14ac:dyDescent="0.3">
      <c r="A14" t="s">
        <v>15</v>
      </c>
      <c r="B14">
        <v>0.60361437342399415</v>
      </c>
      <c r="C14">
        <v>0.33029298425543818</v>
      </c>
      <c r="D14">
        <v>0.77290981810215564</v>
      </c>
      <c r="E14">
        <v>2.7227750083151925E-2</v>
      </c>
      <c r="F14">
        <v>0.88237816306115058</v>
      </c>
      <c r="G14">
        <v>0.61871201264322084</v>
      </c>
      <c r="H14">
        <v>0.73222051245366748</v>
      </c>
      <c r="I14">
        <v>7.9578717576559432E-2</v>
      </c>
      <c r="J14">
        <v>0.51261589745281955</v>
      </c>
      <c r="K14">
        <v>0.66376473200725528</v>
      </c>
      <c r="L14">
        <v>6.2740716360838111E-2</v>
      </c>
      <c r="M14">
        <v>0.35168498671491855</v>
      </c>
      <c r="N14">
        <v>0.62738889649247265</v>
      </c>
    </row>
    <row r="15" spans="1:14" x14ac:dyDescent="0.3">
      <c r="A15" t="s">
        <v>16</v>
      </c>
      <c r="B15">
        <v>0.51112999265005254</v>
      </c>
      <c r="C15">
        <v>7.3718449360938298E-2</v>
      </c>
      <c r="D15">
        <v>0.12465299025121057</v>
      </c>
      <c r="E15">
        <v>0.67584251674941831</v>
      </c>
      <c r="F15">
        <v>0.39753659795966145</v>
      </c>
      <c r="G15">
        <v>0.44068725108810858</v>
      </c>
      <c r="H15">
        <v>0.39345826699770281</v>
      </c>
      <c r="I15">
        <v>0.52809768563067805</v>
      </c>
      <c r="J15">
        <v>0.37656156054423962</v>
      </c>
      <c r="K15">
        <v>0.15257123116243876</v>
      </c>
      <c r="L15">
        <v>0.38406563747000066</v>
      </c>
      <c r="M15">
        <v>0.214930997169687</v>
      </c>
      <c r="N15">
        <v>0.67855889485300502</v>
      </c>
    </row>
    <row r="16" spans="1:14" x14ac:dyDescent="0.3">
      <c r="A16" t="s">
        <v>17</v>
      </c>
      <c r="B16">
        <v>0.85369102838201227</v>
      </c>
      <c r="C16">
        <v>2.5250219262160423E-2</v>
      </c>
      <c r="D16">
        <v>0.65581748771052151</v>
      </c>
      <c r="E16">
        <v>0.57792559322976833</v>
      </c>
      <c r="F16">
        <v>0.56213680571680003</v>
      </c>
      <c r="G16">
        <v>2.771099263117871E-2</v>
      </c>
      <c r="H16">
        <v>0.72669345381627515</v>
      </c>
      <c r="I16">
        <v>0.88783361225016966</v>
      </c>
      <c r="J16">
        <v>0.66477077012123575</v>
      </c>
      <c r="K16">
        <v>0.91013341561563232</v>
      </c>
      <c r="L16">
        <v>0.62031431412436688</v>
      </c>
      <c r="M16">
        <v>3.9523384424048125E-2</v>
      </c>
      <c r="N16">
        <v>2.0481643957968698E-2</v>
      </c>
    </row>
    <row r="17" spans="1:14" x14ac:dyDescent="0.3">
      <c r="A17" t="s">
        <v>18</v>
      </c>
      <c r="B17">
        <v>0.43683394341827375</v>
      </c>
      <c r="C17">
        <v>0.27280036995695789</v>
      </c>
      <c r="D17">
        <v>0.16637090870160787</v>
      </c>
      <c r="E17">
        <v>0.36268631816723229</v>
      </c>
      <c r="F17">
        <v>0.41758528725222488</v>
      </c>
      <c r="G17">
        <v>0.43320198800498255</v>
      </c>
      <c r="H17">
        <v>0.53815264448887523</v>
      </c>
      <c r="I17">
        <v>0.81151660456276198</v>
      </c>
      <c r="J17">
        <v>0.39134081143958632</v>
      </c>
      <c r="K17">
        <v>0.15283148343271802</v>
      </c>
      <c r="L17">
        <v>0.36275618157573819</v>
      </c>
      <c r="M17">
        <v>0.31517822921721161</v>
      </c>
      <c r="N17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9B5A-8497-492D-8E25-47F6BAC1C7B4}">
  <dimension ref="A1:N17"/>
  <sheetViews>
    <sheetView workbookViewId="0">
      <selection activeCell="E27" sqref="E27"/>
    </sheetView>
  </sheetViews>
  <sheetFormatPr defaultRowHeight="14.4" x14ac:dyDescent="0.3"/>
  <cols>
    <col min="1" max="1" width="17.5546875" customWidth="1"/>
  </cols>
  <sheetData>
    <row r="1" spans="1:14" x14ac:dyDescent="0.3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>
        <f t="shared" ref="B3:N3" si="0">SUM(B4:B7)</f>
        <v>2.5744203185548846</v>
      </c>
      <c r="C3">
        <f t="shared" si="0"/>
        <v>3.2931817071268226</v>
      </c>
      <c r="D3">
        <f t="shared" si="0"/>
        <v>2.6682918208733661</v>
      </c>
      <c r="E3">
        <f t="shared" si="0"/>
        <v>1.2509715691653842</v>
      </c>
      <c r="F3">
        <f t="shared" si="0"/>
        <v>2.669181001828115</v>
      </c>
      <c r="G3">
        <f t="shared" si="0"/>
        <v>1.2259604219803308</v>
      </c>
      <c r="H3">
        <f t="shared" si="0"/>
        <v>1.644929115603611</v>
      </c>
      <c r="I3">
        <f t="shared" si="0"/>
        <v>2.0636538667955469</v>
      </c>
      <c r="J3">
        <f t="shared" si="0"/>
        <v>1.7648749637808394</v>
      </c>
      <c r="K3">
        <f t="shared" si="0"/>
        <v>2.5241122285613247</v>
      </c>
      <c r="L3">
        <f t="shared" si="0"/>
        <v>1.9696572215592987</v>
      </c>
      <c r="M3">
        <f t="shared" si="0"/>
        <v>3.0257655903073259</v>
      </c>
      <c r="N3">
        <f t="shared" si="0"/>
        <v>0.89959164539216896</v>
      </c>
    </row>
    <row r="4" spans="1:14" x14ac:dyDescent="0.3">
      <c r="A4" t="s">
        <v>15</v>
      </c>
      <c r="B4">
        <v>0.16107037958324377</v>
      </c>
      <c r="C4">
        <v>0.94707499098196057</v>
      </c>
      <c r="D4">
        <v>0.96411248311952158</v>
      </c>
      <c r="E4">
        <v>1.4756335604728776E-2</v>
      </c>
      <c r="F4">
        <v>0.38216517155213858</v>
      </c>
      <c r="G4">
        <v>6.785557181690216E-2</v>
      </c>
      <c r="H4">
        <v>0.58803630017373854</v>
      </c>
      <c r="I4">
        <v>0.35632239178637615</v>
      </c>
      <c r="J4">
        <v>0.9504930153823401</v>
      </c>
      <c r="K4">
        <v>0.72950872410855083</v>
      </c>
      <c r="L4">
        <v>0.94007246583539739</v>
      </c>
      <c r="M4">
        <v>0.66555067488707742</v>
      </c>
      <c r="N4">
        <v>0.11470512712178615</v>
      </c>
    </row>
    <row r="5" spans="1:14" x14ac:dyDescent="0.3">
      <c r="A5" t="s">
        <v>16</v>
      </c>
      <c r="B5">
        <v>0.92003764589268677</v>
      </c>
      <c r="C5">
        <v>0.96618909320822077</v>
      </c>
      <c r="D5">
        <v>0.70123974093521269</v>
      </c>
      <c r="E5">
        <v>0.10596260135190605</v>
      </c>
      <c r="F5">
        <v>0.77255607008719462</v>
      </c>
      <c r="G5">
        <v>0.52944201813439595</v>
      </c>
      <c r="H5">
        <v>0.28168584725702484</v>
      </c>
      <c r="I5">
        <v>7.7201633003109782E-2</v>
      </c>
      <c r="J5">
        <v>0.41404021576866945</v>
      </c>
      <c r="K5">
        <v>0.17823827083870047</v>
      </c>
      <c r="L5">
        <v>0.57546934211644252</v>
      </c>
      <c r="M5">
        <v>0.85667682062480033</v>
      </c>
      <c r="N5">
        <v>0.63198406355610592</v>
      </c>
    </row>
    <row r="6" spans="1:14" x14ac:dyDescent="0.3">
      <c r="A6" t="s">
        <v>17</v>
      </c>
      <c r="B6">
        <v>0.85438444779581724</v>
      </c>
      <c r="C6">
        <v>0.47822464507543949</v>
      </c>
      <c r="D6">
        <v>0.81626923136433094</v>
      </c>
      <c r="E6">
        <v>0.31469077540739909</v>
      </c>
      <c r="F6">
        <v>0.79827020049992081</v>
      </c>
      <c r="G6">
        <v>0.43371097435054273</v>
      </c>
      <c r="H6">
        <v>0.64578217268414451</v>
      </c>
      <c r="I6">
        <v>0.99323691794940816</v>
      </c>
      <c r="J6">
        <v>0.25598489685481418</v>
      </c>
      <c r="K6">
        <v>0.65825665903965214</v>
      </c>
      <c r="L6">
        <v>0.2845915735312442</v>
      </c>
      <c r="M6">
        <v>0.67089696558404066</v>
      </c>
      <c r="N6">
        <v>1.7505169674120413E-2</v>
      </c>
    </row>
    <row r="7" spans="1:14" x14ac:dyDescent="0.3">
      <c r="A7" t="s">
        <v>18</v>
      </c>
      <c r="B7">
        <v>0.63892784528313651</v>
      </c>
      <c r="C7">
        <v>0.90169297786120162</v>
      </c>
      <c r="D7">
        <v>0.18667036545430082</v>
      </c>
      <c r="E7">
        <v>0.81556185680135029</v>
      </c>
      <c r="F7">
        <v>0.716189559688861</v>
      </c>
      <c r="G7">
        <v>0.19495185767848999</v>
      </c>
      <c r="H7">
        <v>0.12942479548870323</v>
      </c>
      <c r="I7">
        <v>0.63689292405665276</v>
      </c>
      <c r="J7">
        <v>0.14435683577501568</v>
      </c>
      <c r="K7">
        <v>0.95810857457442111</v>
      </c>
      <c r="L7">
        <v>0.16952384007621457</v>
      </c>
      <c r="M7">
        <v>0.83264112921140765</v>
      </c>
      <c r="N7">
        <v>0.13539728504015647</v>
      </c>
    </row>
    <row r="8" spans="1:14" x14ac:dyDescent="0.3">
      <c r="A8" t="s">
        <v>19</v>
      </c>
      <c r="B8">
        <f t="shared" ref="B8:N8" si="1">SUM(B9:B12)</f>
        <v>2.2082902077081359</v>
      </c>
      <c r="C8">
        <f t="shared" si="1"/>
        <v>1.605218686440117</v>
      </c>
      <c r="D8">
        <f t="shared" si="1"/>
        <v>2.1051799746321742</v>
      </c>
      <c r="E8">
        <f t="shared" si="1"/>
        <v>2.1367641918112552</v>
      </c>
      <c r="F8">
        <f t="shared" si="1"/>
        <v>2.2801876216617027</v>
      </c>
      <c r="G8">
        <f t="shared" si="1"/>
        <v>1.9136483978749665</v>
      </c>
      <c r="H8">
        <f t="shared" si="1"/>
        <v>2.1948800772141852</v>
      </c>
      <c r="I8">
        <f t="shared" si="1"/>
        <v>2.5516911861250651</v>
      </c>
      <c r="J8">
        <f t="shared" si="1"/>
        <v>1.4101184048142821</v>
      </c>
      <c r="K8">
        <f t="shared" si="1"/>
        <v>2.1210036938778352</v>
      </c>
      <c r="L8">
        <f t="shared" si="1"/>
        <v>2.1686919091276771</v>
      </c>
      <c r="M8">
        <f t="shared" si="1"/>
        <v>1.8532976530211012</v>
      </c>
      <c r="N8">
        <f t="shared" si="1"/>
        <v>1.9420780139970568</v>
      </c>
    </row>
    <row r="9" spans="1:14" x14ac:dyDescent="0.3">
      <c r="A9" t="s">
        <v>15</v>
      </c>
      <c r="B9">
        <v>0.83513383164917976</v>
      </c>
      <c r="C9">
        <v>0.22493499954681684</v>
      </c>
      <c r="D9">
        <v>0.63653503699003566</v>
      </c>
      <c r="E9">
        <v>0.75378589827450049</v>
      </c>
      <c r="F9">
        <v>6.3119985224117658E-2</v>
      </c>
      <c r="G9">
        <v>0.50655206200678438</v>
      </c>
      <c r="H9">
        <v>0.40855284409710291</v>
      </c>
      <c r="I9">
        <v>0.77653918301074776</v>
      </c>
      <c r="J9">
        <v>9.2429782968020957E-3</v>
      </c>
      <c r="K9">
        <v>0.49336871727698894</v>
      </c>
      <c r="L9">
        <v>0.27217687244180189</v>
      </c>
      <c r="M9">
        <v>0.84264790569124026</v>
      </c>
      <c r="N9">
        <v>0.1845668880661766</v>
      </c>
    </row>
    <row r="10" spans="1:14" x14ac:dyDescent="0.3">
      <c r="A10" t="s">
        <v>16</v>
      </c>
      <c r="B10">
        <v>0.7605919513394741</v>
      </c>
      <c r="C10">
        <v>0.32956267971307285</v>
      </c>
      <c r="D10">
        <v>0.46487786594638458</v>
      </c>
      <c r="E10">
        <v>0.83602009819096967</v>
      </c>
      <c r="F10">
        <v>0.57509468359279425</v>
      </c>
      <c r="G10">
        <v>0.63632130145607124</v>
      </c>
      <c r="H10">
        <v>0.37567858952312172</v>
      </c>
      <c r="I10">
        <v>0.54330082502433252</v>
      </c>
      <c r="J10">
        <v>0.94214533186898097</v>
      </c>
      <c r="K10">
        <v>0.48596463836395087</v>
      </c>
      <c r="L10">
        <v>0.39825037960395104</v>
      </c>
      <c r="M10">
        <v>0.37606023863839289</v>
      </c>
      <c r="N10">
        <v>0.99063477101351305</v>
      </c>
    </row>
    <row r="11" spans="1:14" x14ac:dyDescent="0.3">
      <c r="A11" t="s">
        <v>17</v>
      </c>
      <c r="B11">
        <v>0.1511347744030288</v>
      </c>
      <c r="C11">
        <v>0.55430456565627539</v>
      </c>
      <c r="D11">
        <v>0.43730230924557911</v>
      </c>
      <c r="E11">
        <v>0.33492399320404709</v>
      </c>
      <c r="F11">
        <v>0.96951397246231796</v>
      </c>
      <c r="G11">
        <v>0.21657867726923563</v>
      </c>
      <c r="H11">
        <v>0.68195195194820746</v>
      </c>
      <c r="I11">
        <v>0.92636342896998669</v>
      </c>
      <c r="J11">
        <v>0.21971491039484337</v>
      </c>
      <c r="K11">
        <v>0.3386074240208391</v>
      </c>
      <c r="L11">
        <v>0.9656610356530444</v>
      </c>
      <c r="M11">
        <v>0.45178878142996426</v>
      </c>
      <c r="N11">
        <v>0.13106178032799931</v>
      </c>
    </row>
    <row r="12" spans="1:14" x14ac:dyDescent="0.3">
      <c r="A12" t="s">
        <v>18</v>
      </c>
      <c r="B12">
        <v>0.46142965031645333</v>
      </c>
      <c r="C12">
        <v>0.49641644152395203</v>
      </c>
      <c r="D12">
        <v>0.56646476245017496</v>
      </c>
      <c r="E12">
        <v>0.21203420214173785</v>
      </c>
      <c r="F12">
        <v>0.67245898038247287</v>
      </c>
      <c r="G12">
        <v>0.5541963571428753</v>
      </c>
      <c r="H12">
        <v>0.72869669164575301</v>
      </c>
      <c r="I12">
        <v>0.30548774911999799</v>
      </c>
      <c r="J12">
        <v>0.23901518425365564</v>
      </c>
      <c r="K12">
        <v>0.80306291421605658</v>
      </c>
      <c r="L12">
        <v>0.53260362142888007</v>
      </c>
      <c r="M12">
        <v>0.18280072726150365</v>
      </c>
      <c r="N12">
        <v>0.63581457458936796</v>
      </c>
    </row>
    <row r="13" spans="1:14" x14ac:dyDescent="0.3">
      <c r="A13" t="s">
        <v>20</v>
      </c>
      <c r="B13">
        <f t="shared" ref="B13:N13" si="2">SUM(B14:B17)</f>
        <v>2.4052693378743326</v>
      </c>
      <c r="C13">
        <f t="shared" si="2"/>
        <v>0.70206202283549479</v>
      </c>
      <c r="D13">
        <f t="shared" si="2"/>
        <v>1.7197512047654957</v>
      </c>
      <c r="E13">
        <f t="shared" si="2"/>
        <v>1.6436821782295707</v>
      </c>
      <c r="F13">
        <f t="shared" si="2"/>
        <v>2.259636853989837</v>
      </c>
      <c r="G13">
        <f t="shared" si="2"/>
        <v>1.5203122443674908</v>
      </c>
      <c r="H13">
        <f t="shared" si="2"/>
        <v>2.3905248777565209</v>
      </c>
      <c r="I13">
        <f t="shared" si="2"/>
        <v>2.307026620020169</v>
      </c>
      <c r="J13">
        <f t="shared" si="2"/>
        <v>1.9452890395578812</v>
      </c>
      <c r="K13">
        <f t="shared" si="2"/>
        <v>1.8793008622180445</v>
      </c>
      <c r="L13">
        <f t="shared" si="2"/>
        <v>1.429876849530944</v>
      </c>
      <c r="M13">
        <f t="shared" si="2"/>
        <v>0.92131759752586528</v>
      </c>
      <c r="N13">
        <f t="shared" si="2"/>
        <v>1.6826270196965747</v>
      </c>
    </row>
    <row r="14" spans="1:14" x14ac:dyDescent="0.3">
      <c r="A14" t="s">
        <v>15</v>
      </c>
      <c r="B14">
        <v>0.60361437342399415</v>
      </c>
      <c r="C14">
        <v>0.33029298425543818</v>
      </c>
      <c r="D14">
        <v>0.77290981810215564</v>
      </c>
      <c r="E14">
        <v>2.7227750083151925E-2</v>
      </c>
      <c r="F14">
        <v>0.88237816306115058</v>
      </c>
      <c r="G14">
        <v>0.61871201264322084</v>
      </c>
      <c r="H14">
        <v>0.73222051245366748</v>
      </c>
      <c r="I14">
        <v>7.9578717576559432E-2</v>
      </c>
      <c r="J14">
        <v>0.51261589745281955</v>
      </c>
      <c r="K14">
        <v>0.66376473200725528</v>
      </c>
      <c r="L14">
        <v>6.2740716360838111E-2</v>
      </c>
      <c r="M14">
        <v>0.35168498671491855</v>
      </c>
      <c r="N14">
        <v>0.62738889649247265</v>
      </c>
    </row>
    <row r="15" spans="1:14" x14ac:dyDescent="0.3">
      <c r="A15" t="s">
        <v>16</v>
      </c>
      <c r="B15">
        <v>0.51112999265005254</v>
      </c>
      <c r="C15">
        <v>7.3718449360938298E-2</v>
      </c>
      <c r="D15">
        <v>0.12465299025121057</v>
      </c>
      <c r="E15">
        <v>0.67584251674941831</v>
      </c>
      <c r="F15">
        <v>0.39753659795966145</v>
      </c>
      <c r="G15">
        <v>0.44068725108810858</v>
      </c>
      <c r="H15">
        <v>0.39345826699770281</v>
      </c>
      <c r="I15">
        <v>0.52809768563067805</v>
      </c>
      <c r="J15">
        <v>0.37656156054423962</v>
      </c>
      <c r="K15">
        <v>0.15257123116243876</v>
      </c>
      <c r="L15">
        <v>0.38406563747000066</v>
      </c>
      <c r="M15">
        <v>0.214930997169687</v>
      </c>
      <c r="N15">
        <v>0.67855889485300502</v>
      </c>
    </row>
    <row r="16" spans="1:14" x14ac:dyDescent="0.3">
      <c r="A16" t="s">
        <v>17</v>
      </c>
      <c r="B16">
        <v>0.85369102838201227</v>
      </c>
      <c r="C16">
        <v>2.5250219262160423E-2</v>
      </c>
      <c r="D16">
        <v>0.65581748771052151</v>
      </c>
      <c r="E16">
        <v>0.57792559322976833</v>
      </c>
      <c r="F16">
        <v>0.56213680571680003</v>
      </c>
      <c r="G16">
        <v>2.771099263117871E-2</v>
      </c>
      <c r="H16">
        <v>0.72669345381627515</v>
      </c>
      <c r="I16">
        <v>0.88783361225016966</v>
      </c>
      <c r="J16">
        <v>0.66477077012123575</v>
      </c>
      <c r="K16">
        <v>0.91013341561563232</v>
      </c>
      <c r="L16">
        <v>0.62031431412436688</v>
      </c>
      <c r="M16">
        <v>3.9523384424048125E-2</v>
      </c>
      <c r="N16">
        <v>2.0481643957968698E-2</v>
      </c>
    </row>
    <row r="17" spans="1:14" x14ac:dyDescent="0.3">
      <c r="A17" t="s">
        <v>18</v>
      </c>
      <c r="B17">
        <v>0.43683394341827375</v>
      </c>
      <c r="C17">
        <v>0.27280036995695789</v>
      </c>
      <c r="D17">
        <v>0.16637090870160787</v>
      </c>
      <c r="E17">
        <v>0.36268631816723229</v>
      </c>
      <c r="F17">
        <v>0.41758528725222488</v>
      </c>
      <c r="G17">
        <v>0.43320198800498255</v>
      </c>
      <c r="H17">
        <v>0.53815264448887523</v>
      </c>
      <c r="I17">
        <v>0.81151660456276198</v>
      </c>
      <c r="J17">
        <v>0.39134081143958632</v>
      </c>
      <c r="K17">
        <v>0.15283148343271802</v>
      </c>
      <c r="L17">
        <v>0.36275618157573819</v>
      </c>
      <c r="M17">
        <v>0.31517822921721161</v>
      </c>
      <c r="N17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2B32-6F78-4959-95EE-7B4122004752}">
  <dimension ref="A1:N18"/>
  <sheetViews>
    <sheetView workbookViewId="0">
      <selection activeCell="O1" sqref="O1"/>
    </sheetView>
  </sheetViews>
  <sheetFormatPr defaultRowHeight="14.4" x14ac:dyDescent="0.3"/>
  <sheetData>
    <row r="1" spans="1:14" x14ac:dyDescent="0.3">
      <c r="A1" s="3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26</v>
      </c>
      <c r="B3">
        <f t="shared" ref="B3:N3" si="0">B4+B9+B14</f>
        <v>7.1879798641373531</v>
      </c>
      <c r="C3">
        <f t="shared" si="0"/>
        <v>5.6004624164024346</v>
      </c>
      <c r="D3">
        <f t="shared" si="0"/>
        <v>6.493223000271036</v>
      </c>
      <c r="E3">
        <f t="shared" si="0"/>
        <v>5.0314179392062099</v>
      </c>
      <c r="F3">
        <f t="shared" si="0"/>
        <v>7.2090054774796553</v>
      </c>
      <c r="G3">
        <f t="shared" si="0"/>
        <v>4.6599210642227877</v>
      </c>
      <c r="H3">
        <f t="shared" si="0"/>
        <v>6.2303340705743171</v>
      </c>
      <c r="I3">
        <f t="shared" si="0"/>
        <v>6.9223716729407805</v>
      </c>
      <c r="J3">
        <f t="shared" si="0"/>
        <v>5.1202824081530025</v>
      </c>
      <c r="K3">
        <f t="shared" si="0"/>
        <v>6.5244167846572045</v>
      </c>
      <c r="L3">
        <f t="shared" si="0"/>
        <v>5.5682259802179193</v>
      </c>
      <c r="M3">
        <f t="shared" si="0"/>
        <v>5.8003808408542925</v>
      </c>
      <c r="N3">
        <f t="shared" si="0"/>
        <v>4.5242966790858006</v>
      </c>
    </row>
    <row r="4" spans="1:14" x14ac:dyDescent="0.3">
      <c r="A4" t="s">
        <v>14</v>
      </c>
      <c r="B4">
        <f t="shared" ref="B4:N4" si="1">SUM(B5:B8)</f>
        <v>2.5744203185548846</v>
      </c>
      <c r="C4">
        <f t="shared" si="1"/>
        <v>3.2931817071268226</v>
      </c>
      <c r="D4">
        <f t="shared" si="1"/>
        <v>2.6682918208733661</v>
      </c>
      <c r="E4">
        <f t="shared" si="1"/>
        <v>1.2509715691653842</v>
      </c>
      <c r="F4">
        <f t="shared" si="1"/>
        <v>2.669181001828115</v>
      </c>
      <c r="G4">
        <f t="shared" si="1"/>
        <v>1.2259604219803308</v>
      </c>
      <c r="H4">
        <f t="shared" si="1"/>
        <v>1.644929115603611</v>
      </c>
      <c r="I4">
        <f t="shared" si="1"/>
        <v>2.0636538667955469</v>
      </c>
      <c r="J4">
        <f t="shared" si="1"/>
        <v>1.7648749637808394</v>
      </c>
      <c r="K4">
        <f t="shared" si="1"/>
        <v>2.5241122285613247</v>
      </c>
      <c r="L4">
        <f t="shared" si="1"/>
        <v>1.9696572215592987</v>
      </c>
      <c r="M4">
        <f t="shared" si="1"/>
        <v>3.0257655903073259</v>
      </c>
      <c r="N4">
        <f t="shared" si="1"/>
        <v>0.89959164539216896</v>
      </c>
    </row>
    <row r="5" spans="1:14" x14ac:dyDescent="0.3">
      <c r="A5" t="s">
        <v>15</v>
      </c>
      <c r="B5">
        <v>0.16107037958324377</v>
      </c>
      <c r="C5">
        <v>0.94707499098196057</v>
      </c>
      <c r="D5">
        <v>0.96411248311952158</v>
      </c>
      <c r="E5">
        <v>1.4756335604728776E-2</v>
      </c>
      <c r="F5">
        <v>0.38216517155213858</v>
      </c>
      <c r="G5">
        <v>6.785557181690216E-2</v>
      </c>
      <c r="H5">
        <v>0.58803630017373854</v>
      </c>
      <c r="I5">
        <v>0.35632239178637615</v>
      </c>
      <c r="J5">
        <v>0.9504930153823401</v>
      </c>
      <c r="K5">
        <v>0.72950872410855083</v>
      </c>
      <c r="L5">
        <v>0.94007246583539739</v>
      </c>
      <c r="M5">
        <v>0.66555067488707742</v>
      </c>
      <c r="N5">
        <v>0.11470512712178615</v>
      </c>
    </row>
    <row r="6" spans="1:14" x14ac:dyDescent="0.3">
      <c r="A6" t="s">
        <v>16</v>
      </c>
      <c r="B6">
        <v>0.92003764589268677</v>
      </c>
      <c r="C6">
        <v>0.96618909320822077</v>
      </c>
      <c r="D6">
        <v>0.70123974093521269</v>
      </c>
      <c r="E6">
        <v>0.10596260135190605</v>
      </c>
      <c r="F6">
        <v>0.77255607008719462</v>
      </c>
      <c r="G6">
        <v>0.52944201813439595</v>
      </c>
      <c r="H6">
        <v>0.28168584725702484</v>
      </c>
      <c r="I6">
        <v>7.7201633003109782E-2</v>
      </c>
      <c r="J6">
        <v>0.41404021576866945</v>
      </c>
      <c r="K6">
        <v>0.17823827083870047</v>
      </c>
      <c r="L6">
        <v>0.57546934211644252</v>
      </c>
      <c r="M6">
        <v>0.85667682062480033</v>
      </c>
      <c r="N6">
        <v>0.63198406355610592</v>
      </c>
    </row>
    <row r="7" spans="1:14" x14ac:dyDescent="0.3">
      <c r="A7" t="s">
        <v>17</v>
      </c>
      <c r="B7">
        <v>0.85438444779581724</v>
      </c>
      <c r="C7">
        <v>0.47822464507543949</v>
      </c>
      <c r="D7">
        <v>0.81626923136433094</v>
      </c>
      <c r="E7">
        <v>0.31469077540739909</v>
      </c>
      <c r="F7">
        <v>0.79827020049992081</v>
      </c>
      <c r="G7">
        <v>0.43371097435054273</v>
      </c>
      <c r="H7">
        <v>0.64578217268414451</v>
      </c>
      <c r="I7">
        <v>0.99323691794940816</v>
      </c>
      <c r="J7">
        <v>0.25598489685481418</v>
      </c>
      <c r="K7">
        <v>0.65825665903965214</v>
      </c>
      <c r="L7">
        <v>0.2845915735312442</v>
      </c>
      <c r="M7">
        <v>0.67089696558404066</v>
      </c>
      <c r="N7">
        <v>1.7505169674120413E-2</v>
      </c>
    </row>
    <row r="8" spans="1:14" x14ac:dyDescent="0.3">
      <c r="A8" t="s">
        <v>18</v>
      </c>
      <c r="B8">
        <v>0.63892784528313651</v>
      </c>
      <c r="C8">
        <v>0.90169297786120162</v>
      </c>
      <c r="D8">
        <v>0.18667036545430082</v>
      </c>
      <c r="E8">
        <v>0.81556185680135029</v>
      </c>
      <c r="F8">
        <v>0.716189559688861</v>
      </c>
      <c r="G8">
        <v>0.19495185767848999</v>
      </c>
      <c r="H8">
        <v>0.12942479548870323</v>
      </c>
      <c r="I8">
        <v>0.63689292405665276</v>
      </c>
      <c r="J8">
        <v>0.14435683577501568</v>
      </c>
      <c r="K8">
        <v>0.95810857457442111</v>
      </c>
      <c r="L8">
        <v>0.16952384007621457</v>
      </c>
      <c r="M8">
        <v>0.83264112921140765</v>
      </c>
      <c r="N8">
        <v>0.13539728504015647</v>
      </c>
    </row>
    <row r="9" spans="1:14" x14ac:dyDescent="0.3">
      <c r="A9" t="s">
        <v>19</v>
      </c>
      <c r="B9">
        <f t="shared" ref="B9:N9" si="2">SUM(B10:B13)</f>
        <v>2.2082902077081359</v>
      </c>
      <c r="C9">
        <f t="shared" si="2"/>
        <v>1.605218686440117</v>
      </c>
      <c r="D9">
        <f t="shared" si="2"/>
        <v>2.1051799746321742</v>
      </c>
      <c r="E9">
        <f t="shared" si="2"/>
        <v>2.1367641918112552</v>
      </c>
      <c r="F9">
        <f t="shared" si="2"/>
        <v>2.2801876216617027</v>
      </c>
      <c r="G9">
        <f t="shared" si="2"/>
        <v>1.9136483978749665</v>
      </c>
      <c r="H9">
        <f t="shared" si="2"/>
        <v>2.1948800772141852</v>
      </c>
      <c r="I9">
        <f t="shared" si="2"/>
        <v>2.5516911861250651</v>
      </c>
      <c r="J9">
        <f t="shared" si="2"/>
        <v>1.4101184048142821</v>
      </c>
      <c r="K9">
        <f t="shared" si="2"/>
        <v>2.1210036938778352</v>
      </c>
      <c r="L9">
        <f t="shared" si="2"/>
        <v>2.1686919091276771</v>
      </c>
      <c r="M9">
        <f t="shared" si="2"/>
        <v>1.8532976530211012</v>
      </c>
      <c r="N9">
        <f t="shared" si="2"/>
        <v>1.9420780139970568</v>
      </c>
    </row>
    <row r="10" spans="1:14" x14ac:dyDescent="0.3">
      <c r="A10" t="s">
        <v>15</v>
      </c>
      <c r="B10">
        <v>0.83513383164917976</v>
      </c>
      <c r="C10">
        <v>0.22493499954681684</v>
      </c>
      <c r="D10">
        <v>0.63653503699003566</v>
      </c>
      <c r="E10">
        <v>0.75378589827450049</v>
      </c>
      <c r="F10">
        <v>6.3119985224117658E-2</v>
      </c>
      <c r="G10">
        <v>0.50655206200678438</v>
      </c>
      <c r="H10">
        <v>0.40855284409710291</v>
      </c>
      <c r="I10">
        <v>0.77653918301074776</v>
      </c>
      <c r="J10">
        <v>9.2429782968020957E-3</v>
      </c>
      <c r="K10">
        <v>0.49336871727698894</v>
      </c>
      <c r="L10">
        <v>0.27217687244180189</v>
      </c>
      <c r="M10">
        <v>0.84264790569124026</v>
      </c>
      <c r="N10">
        <v>0.1845668880661766</v>
      </c>
    </row>
    <row r="11" spans="1:14" x14ac:dyDescent="0.3">
      <c r="A11" t="s">
        <v>16</v>
      </c>
      <c r="B11">
        <v>0.7605919513394741</v>
      </c>
      <c r="C11">
        <v>0.32956267971307285</v>
      </c>
      <c r="D11">
        <v>0.46487786594638458</v>
      </c>
      <c r="E11">
        <v>0.83602009819096967</v>
      </c>
      <c r="F11">
        <v>0.57509468359279425</v>
      </c>
      <c r="G11">
        <v>0.63632130145607124</v>
      </c>
      <c r="H11">
        <v>0.37567858952312172</v>
      </c>
      <c r="I11">
        <v>0.54330082502433252</v>
      </c>
      <c r="J11">
        <v>0.94214533186898097</v>
      </c>
      <c r="K11">
        <v>0.48596463836395087</v>
      </c>
      <c r="L11">
        <v>0.39825037960395104</v>
      </c>
      <c r="M11">
        <v>0.37606023863839289</v>
      </c>
      <c r="N11">
        <v>0.99063477101351305</v>
      </c>
    </row>
    <row r="12" spans="1:14" x14ac:dyDescent="0.3">
      <c r="A12" t="s">
        <v>17</v>
      </c>
      <c r="B12">
        <v>0.1511347744030288</v>
      </c>
      <c r="C12">
        <v>0.55430456565627539</v>
      </c>
      <c r="D12">
        <v>0.43730230924557911</v>
      </c>
      <c r="E12">
        <v>0.33492399320404709</v>
      </c>
      <c r="F12">
        <v>0.96951397246231796</v>
      </c>
      <c r="G12">
        <v>0.21657867726923563</v>
      </c>
      <c r="H12">
        <v>0.68195195194820746</v>
      </c>
      <c r="I12">
        <v>0.92636342896998669</v>
      </c>
      <c r="J12">
        <v>0.21971491039484337</v>
      </c>
      <c r="K12">
        <v>0.3386074240208391</v>
      </c>
      <c r="L12">
        <v>0.9656610356530444</v>
      </c>
      <c r="M12">
        <v>0.45178878142996426</v>
      </c>
      <c r="N12">
        <v>0.13106178032799931</v>
      </c>
    </row>
    <row r="13" spans="1:14" x14ac:dyDescent="0.3">
      <c r="A13" t="s">
        <v>18</v>
      </c>
      <c r="B13">
        <v>0.46142965031645333</v>
      </c>
      <c r="C13">
        <v>0.49641644152395203</v>
      </c>
      <c r="D13">
        <v>0.56646476245017496</v>
      </c>
      <c r="E13">
        <v>0.21203420214173785</v>
      </c>
      <c r="F13">
        <v>0.67245898038247287</v>
      </c>
      <c r="G13">
        <v>0.5541963571428753</v>
      </c>
      <c r="H13">
        <v>0.72869669164575301</v>
      </c>
      <c r="I13">
        <v>0.30548774911999799</v>
      </c>
      <c r="J13">
        <v>0.23901518425365564</v>
      </c>
      <c r="K13">
        <v>0.80306291421605658</v>
      </c>
      <c r="L13">
        <v>0.53260362142888007</v>
      </c>
      <c r="M13">
        <v>0.18280072726150365</v>
      </c>
      <c r="N13">
        <v>0.63581457458936796</v>
      </c>
    </row>
    <row r="14" spans="1:14" x14ac:dyDescent="0.3">
      <c r="A14" t="s">
        <v>20</v>
      </c>
      <c r="B14">
        <f t="shared" ref="B14:N14" si="3">SUM(B15:B18)</f>
        <v>2.4052693378743326</v>
      </c>
      <c r="C14">
        <f t="shared" si="3"/>
        <v>0.70206202283549479</v>
      </c>
      <c r="D14">
        <f t="shared" si="3"/>
        <v>1.7197512047654957</v>
      </c>
      <c r="E14">
        <f t="shared" si="3"/>
        <v>1.6436821782295707</v>
      </c>
      <c r="F14">
        <f t="shared" si="3"/>
        <v>2.259636853989837</v>
      </c>
      <c r="G14">
        <f t="shared" si="3"/>
        <v>1.5203122443674908</v>
      </c>
      <c r="H14">
        <f t="shared" si="3"/>
        <v>2.3905248777565209</v>
      </c>
      <c r="I14">
        <f t="shared" si="3"/>
        <v>2.307026620020169</v>
      </c>
      <c r="J14">
        <f t="shared" si="3"/>
        <v>1.9452890395578812</v>
      </c>
      <c r="K14">
        <f t="shared" si="3"/>
        <v>1.8793008622180445</v>
      </c>
      <c r="L14">
        <f t="shared" si="3"/>
        <v>1.429876849530944</v>
      </c>
      <c r="M14">
        <f t="shared" si="3"/>
        <v>0.92131759752586528</v>
      </c>
      <c r="N14">
        <f t="shared" si="3"/>
        <v>1.6826270196965747</v>
      </c>
    </row>
    <row r="15" spans="1:14" x14ac:dyDescent="0.3">
      <c r="A15" t="s">
        <v>15</v>
      </c>
      <c r="B15">
        <v>0.60361437342399415</v>
      </c>
      <c r="C15">
        <v>0.33029298425543818</v>
      </c>
      <c r="D15">
        <v>0.77290981810215564</v>
      </c>
      <c r="E15">
        <v>2.7227750083151925E-2</v>
      </c>
      <c r="F15">
        <v>0.88237816306115058</v>
      </c>
      <c r="G15">
        <v>0.61871201264322084</v>
      </c>
      <c r="H15">
        <v>0.73222051245366748</v>
      </c>
      <c r="I15">
        <v>7.9578717576559432E-2</v>
      </c>
      <c r="J15">
        <v>0.51261589745281955</v>
      </c>
      <c r="K15">
        <v>0.66376473200725528</v>
      </c>
      <c r="L15">
        <v>6.2740716360838111E-2</v>
      </c>
      <c r="M15">
        <v>0.35168498671491855</v>
      </c>
      <c r="N15">
        <v>0.62738889649247265</v>
      </c>
    </row>
    <row r="16" spans="1:14" x14ac:dyDescent="0.3">
      <c r="A16" t="s">
        <v>16</v>
      </c>
      <c r="B16">
        <v>0.51112999265005254</v>
      </c>
      <c r="C16">
        <v>7.3718449360938298E-2</v>
      </c>
      <c r="D16">
        <v>0.12465299025121057</v>
      </c>
      <c r="E16">
        <v>0.67584251674941831</v>
      </c>
      <c r="F16">
        <v>0.39753659795966145</v>
      </c>
      <c r="G16">
        <v>0.44068725108810858</v>
      </c>
      <c r="H16">
        <v>0.39345826699770281</v>
      </c>
      <c r="I16">
        <v>0.52809768563067805</v>
      </c>
      <c r="J16">
        <v>0.37656156054423962</v>
      </c>
      <c r="K16">
        <v>0.15257123116243876</v>
      </c>
      <c r="L16">
        <v>0.38406563747000066</v>
      </c>
      <c r="M16">
        <v>0.214930997169687</v>
      </c>
      <c r="N16">
        <v>0.67855889485300502</v>
      </c>
    </row>
    <row r="17" spans="1:14" x14ac:dyDescent="0.3">
      <c r="A17" t="s">
        <v>17</v>
      </c>
      <c r="B17">
        <v>0.85369102838201227</v>
      </c>
      <c r="C17">
        <v>2.5250219262160423E-2</v>
      </c>
      <c r="D17">
        <v>0.65581748771052151</v>
      </c>
      <c r="E17">
        <v>0.57792559322976833</v>
      </c>
      <c r="F17">
        <v>0.56213680571680003</v>
      </c>
      <c r="G17">
        <v>2.771099263117871E-2</v>
      </c>
      <c r="H17">
        <v>0.72669345381627515</v>
      </c>
      <c r="I17">
        <v>0.88783361225016966</v>
      </c>
      <c r="J17">
        <v>0.66477077012123575</v>
      </c>
      <c r="K17">
        <v>0.91013341561563232</v>
      </c>
      <c r="L17">
        <v>0.62031431412436688</v>
      </c>
      <c r="M17">
        <v>3.9523384424048125E-2</v>
      </c>
      <c r="N17">
        <v>2.0481643957968698E-2</v>
      </c>
    </row>
    <row r="18" spans="1:14" x14ac:dyDescent="0.3">
      <c r="A18" t="s">
        <v>18</v>
      </c>
      <c r="B18">
        <v>0.43683394341827375</v>
      </c>
      <c r="C18">
        <v>0.27280036995695789</v>
      </c>
      <c r="D18">
        <v>0.16637090870160787</v>
      </c>
      <c r="E18">
        <v>0.36268631816723229</v>
      </c>
      <c r="F18">
        <v>0.41758528725222488</v>
      </c>
      <c r="G18">
        <v>0.43320198800498255</v>
      </c>
      <c r="H18">
        <v>0.53815264448887523</v>
      </c>
      <c r="I18">
        <v>0.81151660456276198</v>
      </c>
      <c r="J18">
        <v>0.39134081143958632</v>
      </c>
      <c r="K18">
        <v>0.15283148343271802</v>
      </c>
      <c r="L18">
        <v>0.36275618157573819</v>
      </c>
      <c r="M18">
        <v>0.31517822921721161</v>
      </c>
      <c r="N18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0828-79E7-408E-BAE6-6F0365462096}">
  <dimension ref="A1:AC13"/>
  <sheetViews>
    <sheetView workbookViewId="0">
      <selection activeCell="G22" sqref="G22"/>
    </sheetView>
  </sheetViews>
  <sheetFormatPr defaultRowHeight="14.4" x14ac:dyDescent="0.3"/>
  <sheetData>
    <row r="1" spans="1:29" x14ac:dyDescent="0.3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3" t="s">
        <v>28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">
      <c r="A2" t="s">
        <v>29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29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</row>
    <row r="3" spans="1:29" x14ac:dyDescent="0.3">
      <c r="A3" t="s">
        <v>14</v>
      </c>
      <c r="B3">
        <v>45.660915412761007</v>
      </c>
      <c r="C3">
        <v>70.085806309657286</v>
      </c>
      <c r="D3">
        <v>42.065962880684587</v>
      </c>
      <c r="E3">
        <v>58.043724813885774</v>
      </c>
      <c r="F3">
        <v>62.71627315937755</v>
      </c>
      <c r="G3">
        <v>21.929746919059227</v>
      </c>
      <c r="H3">
        <v>65.415690104001186</v>
      </c>
      <c r="I3">
        <v>20.722572045739021</v>
      </c>
      <c r="J3">
        <v>10.165768054772439</v>
      </c>
      <c r="K3">
        <v>73.489136547989986</v>
      </c>
      <c r="L3">
        <v>38.281936065317687</v>
      </c>
      <c r="M3">
        <v>36.406473401462108</v>
      </c>
      <c r="N3">
        <v>58.254489846803331</v>
      </c>
      <c r="P3" t="s">
        <v>14</v>
      </c>
      <c r="Q3">
        <v>30.397316397428938</v>
      </c>
      <c r="R3">
        <v>1.7188688628259858</v>
      </c>
      <c r="S3">
        <v>21.395610948959241</v>
      </c>
      <c r="T3">
        <v>69.971708855183365</v>
      </c>
      <c r="U3">
        <v>31.443912568629333</v>
      </c>
      <c r="V3">
        <v>76.167481967245664</v>
      </c>
      <c r="W3">
        <v>47.461089511372094</v>
      </c>
      <c r="X3">
        <v>70.577092633000916</v>
      </c>
      <c r="Y3">
        <v>35.94581370499607</v>
      </c>
      <c r="Z3">
        <v>12.527329092856821</v>
      </c>
      <c r="AA3">
        <v>41.000422649121589</v>
      </c>
      <c r="AB3">
        <v>12.677422376751819</v>
      </c>
      <c r="AC3">
        <v>11.048494278199017</v>
      </c>
    </row>
    <row r="4" spans="1:29" x14ac:dyDescent="0.3">
      <c r="A4" t="s">
        <v>30</v>
      </c>
      <c r="B4">
        <v>77.18258153260355</v>
      </c>
      <c r="C4">
        <v>17.645474211464354</v>
      </c>
      <c r="D4">
        <v>3.1062912000072744</v>
      </c>
      <c r="E4">
        <v>62.198794214200333</v>
      </c>
      <c r="F4">
        <v>38.34409937021946</v>
      </c>
      <c r="G4">
        <v>17.37665580795187</v>
      </c>
      <c r="H4">
        <v>69.662076381772934</v>
      </c>
      <c r="I4">
        <v>54.165900457961001</v>
      </c>
      <c r="J4">
        <v>64.415190360627719</v>
      </c>
      <c r="K4">
        <v>51.512500641527566</v>
      </c>
      <c r="L4">
        <v>65.326261383324351</v>
      </c>
      <c r="M4">
        <v>77.174658138200783</v>
      </c>
      <c r="N4">
        <v>35.751442100760855</v>
      </c>
      <c r="P4" t="s">
        <v>30</v>
      </c>
      <c r="Q4">
        <v>71.100160911847809</v>
      </c>
      <c r="R4">
        <v>18.088460562810106</v>
      </c>
      <c r="S4">
        <v>46.112704955471713</v>
      </c>
      <c r="T4">
        <v>11.232379289303895</v>
      </c>
      <c r="U4">
        <v>53.329422771403031</v>
      </c>
      <c r="V4">
        <v>17.565506320837102</v>
      </c>
      <c r="W4">
        <v>60.537537109752314</v>
      </c>
      <c r="X4">
        <v>71.835975471775427</v>
      </c>
      <c r="Y4">
        <v>24.612859007753514</v>
      </c>
      <c r="Z4">
        <v>79.83722012327874</v>
      </c>
      <c r="AA4">
        <v>9.1716025126893506</v>
      </c>
      <c r="AB4">
        <v>63.324279952237731</v>
      </c>
      <c r="AC4">
        <v>28.543834853411223</v>
      </c>
    </row>
    <row r="5" spans="1:29" x14ac:dyDescent="0.3">
      <c r="A5" t="s">
        <v>31</v>
      </c>
      <c r="B5">
        <v>1.3171410839854474</v>
      </c>
      <c r="C5">
        <v>57.011256239017172</v>
      </c>
      <c r="D5">
        <v>18.002648386437002</v>
      </c>
      <c r="E5">
        <v>47.231315325699669</v>
      </c>
      <c r="F5">
        <v>32.622088005402723</v>
      </c>
      <c r="G5">
        <v>73.859249380169729</v>
      </c>
      <c r="H5">
        <v>13.674453997506417</v>
      </c>
      <c r="I5">
        <v>38.309561656981373</v>
      </c>
      <c r="J5">
        <v>20.064991354463707</v>
      </c>
      <c r="K5">
        <v>61.222037784349141</v>
      </c>
      <c r="L5">
        <v>32.864965183611382</v>
      </c>
      <c r="M5">
        <v>26.770083191400612</v>
      </c>
      <c r="N5">
        <v>71.652020889125993</v>
      </c>
      <c r="P5" t="s">
        <v>31</v>
      </c>
      <c r="Q5">
        <v>65.161959248498135</v>
      </c>
      <c r="R5">
        <v>22.677331522499777</v>
      </c>
      <c r="S5">
        <v>35.970292368405026</v>
      </c>
      <c r="T5">
        <v>13.020291625373783</v>
      </c>
      <c r="U5">
        <v>5.7951183958807428</v>
      </c>
      <c r="V5">
        <v>68.53364579888401</v>
      </c>
      <c r="W5">
        <v>24.787411101151083</v>
      </c>
      <c r="X5">
        <v>53.79868091147722</v>
      </c>
      <c r="Y5">
        <v>36.627467240171399</v>
      </c>
      <c r="Z5">
        <v>41.72106820482648</v>
      </c>
      <c r="AA5">
        <v>36.605536772145363</v>
      </c>
      <c r="AB5">
        <v>35.350677816992366</v>
      </c>
      <c r="AC5">
        <v>39.527714440959485</v>
      </c>
    </row>
    <row r="6" spans="1:29" x14ac:dyDescent="0.3">
      <c r="A6" t="s">
        <v>19</v>
      </c>
      <c r="B6">
        <v>65.427312655800449</v>
      </c>
      <c r="C6">
        <v>19.531948712558279</v>
      </c>
      <c r="D6">
        <v>10.733123020165758</v>
      </c>
      <c r="E6">
        <v>16.508498563854957</v>
      </c>
      <c r="F6">
        <v>8.2113455834795879</v>
      </c>
      <c r="G6">
        <v>22.815955306823962</v>
      </c>
      <c r="H6">
        <v>41.906926995438916</v>
      </c>
      <c r="I6">
        <v>25.322879740861797</v>
      </c>
      <c r="J6">
        <v>72.012542410532191</v>
      </c>
      <c r="K6">
        <v>21.27934964497388</v>
      </c>
      <c r="L6">
        <v>14.557297129278343</v>
      </c>
      <c r="M6">
        <v>11.201005364622016</v>
      </c>
      <c r="N6">
        <v>78.19138561776947</v>
      </c>
      <c r="P6" t="s">
        <v>19</v>
      </c>
      <c r="Q6">
        <v>28.274693745707811</v>
      </c>
      <c r="R6">
        <v>40.901178928131095</v>
      </c>
      <c r="S6">
        <v>49.025464561972669</v>
      </c>
      <c r="T6">
        <v>9.2624892848357199</v>
      </c>
      <c r="U6">
        <v>47.834375114127091</v>
      </c>
      <c r="V6">
        <v>11.240054726732861</v>
      </c>
      <c r="W6">
        <v>34.363324330717695</v>
      </c>
      <c r="X6">
        <v>13.416455166122622</v>
      </c>
      <c r="Y6">
        <v>47.810558003954405</v>
      </c>
      <c r="Z6">
        <v>27.430477206965975</v>
      </c>
      <c r="AA6">
        <v>67.629320856813436</v>
      </c>
      <c r="AB6">
        <v>35.254956442156178</v>
      </c>
      <c r="AC6">
        <v>7.8634270746652319</v>
      </c>
    </row>
    <row r="8" spans="1:29" x14ac:dyDescent="0.3">
      <c r="A8" s="3" t="s">
        <v>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P8" s="3" t="s">
        <v>33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3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  <c r="N9" t="s">
        <v>13</v>
      </c>
      <c r="P9" t="s">
        <v>29</v>
      </c>
      <c r="Q9" t="s">
        <v>1</v>
      </c>
      <c r="R9" t="s">
        <v>2</v>
      </c>
      <c r="S9" t="s">
        <v>3</v>
      </c>
      <c r="T9" t="s">
        <v>4</v>
      </c>
      <c r="U9" t="s">
        <v>5</v>
      </c>
      <c r="V9" t="s">
        <v>6</v>
      </c>
      <c r="W9" t="s">
        <v>7</v>
      </c>
      <c r="X9" t="s">
        <v>8</v>
      </c>
      <c r="Y9" t="s">
        <v>9</v>
      </c>
      <c r="Z9" t="s">
        <v>10</v>
      </c>
      <c r="AA9" t="s">
        <v>11</v>
      </c>
      <c r="AB9" t="s">
        <v>12</v>
      </c>
      <c r="AC9" t="s">
        <v>13</v>
      </c>
    </row>
    <row r="10" spans="1:29" x14ac:dyDescent="0.3">
      <c r="A10" t="s">
        <v>14</v>
      </c>
      <c r="B10">
        <v>52.647408161624718</v>
      </c>
      <c r="C10">
        <v>43.039355635046689</v>
      </c>
      <c r="D10">
        <v>42.664509952806412</v>
      </c>
      <c r="E10">
        <v>64.646024972484511</v>
      </c>
      <c r="F10">
        <v>48.489342282532085</v>
      </c>
      <c r="G10">
        <v>62.988743651591975</v>
      </c>
      <c r="H10">
        <v>43.251165208976282</v>
      </c>
      <c r="I10">
        <v>61.263011466523103</v>
      </c>
      <c r="J10">
        <v>50.5314837739271</v>
      </c>
      <c r="K10">
        <v>68.258715421450972</v>
      </c>
      <c r="L10">
        <v>22.089233990608466</v>
      </c>
      <c r="M10">
        <v>52.657566800370049</v>
      </c>
      <c r="N10">
        <v>14.263586642007549</v>
      </c>
      <c r="P10" t="s">
        <v>14</v>
      </c>
      <c r="Q10">
        <v>54.498508583834678</v>
      </c>
      <c r="R10">
        <v>56.350730670513734</v>
      </c>
      <c r="S10">
        <v>70.029760880298099</v>
      </c>
      <c r="T10">
        <v>22.70431776898225</v>
      </c>
      <c r="U10">
        <v>21.473280954553456</v>
      </c>
      <c r="V10">
        <v>67.421531417089227</v>
      </c>
      <c r="W10">
        <v>61.954478512934621</v>
      </c>
      <c r="X10">
        <v>5.7073425292511653</v>
      </c>
      <c r="Y10">
        <v>75.145878674225827</v>
      </c>
      <c r="Z10">
        <v>5.1099480348461741</v>
      </c>
      <c r="AA10">
        <v>69.104977634623978</v>
      </c>
      <c r="AB10">
        <v>29.989866465720894</v>
      </c>
      <c r="AC10">
        <v>44.328808149179899</v>
      </c>
    </row>
    <row r="11" spans="1:29" x14ac:dyDescent="0.3">
      <c r="A11" t="s">
        <v>30</v>
      </c>
      <c r="B11">
        <v>43.350058665122241</v>
      </c>
      <c r="C11">
        <v>17.908130113382079</v>
      </c>
      <c r="D11">
        <v>22.284702929240293</v>
      </c>
      <c r="E11">
        <v>53.823816853862709</v>
      </c>
      <c r="F11">
        <v>36.916599253847465</v>
      </c>
      <c r="G11">
        <v>11.906877801957895</v>
      </c>
      <c r="H11">
        <v>47.933429564777221</v>
      </c>
      <c r="I11">
        <v>56.668328852489417</v>
      </c>
      <c r="J11">
        <v>79.169060258793351</v>
      </c>
      <c r="K11">
        <v>48.850777041177501</v>
      </c>
      <c r="L11">
        <v>35.975044077653848</v>
      </c>
      <c r="M11">
        <v>3.5166317767255109</v>
      </c>
      <c r="N11">
        <v>66.903023027402085</v>
      </c>
      <c r="P11" t="s">
        <v>30</v>
      </c>
      <c r="Q11">
        <v>6.2341219884459163</v>
      </c>
      <c r="R11">
        <v>13.590966469080087</v>
      </c>
      <c r="S11">
        <v>2.4599567911460269</v>
      </c>
      <c r="T11">
        <v>12.560587794925183</v>
      </c>
      <c r="U11">
        <v>48.741017205151344</v>
      </c>
      <c r="V11">
        <v>13.206437619943546</v>
      </c>
      <c r="W11">
        <v>27.860755974922949</v>
      </c>
      <c r="X11">
        <v>3.3053137165102022</v>
      </c>
      <c r="Y11">
        <v>45.261420487328408</v>
      </c>
      <c r="Z11">
        <v>32.319718871805847</v>
      </c>
      <c r="AA11">
        <v>18.987986121864829</v>
      </c>
      <c r="AB11">
        <v>26.857989556280703</v>
      </c>
      <c r="AC11">
        <v>7.3819780627359171</v>
      </c>
    </row>
    <row r="12" spans="1:29" x14ac:dyDescent="0.3">
      <c r="A12" t="s">
        <v>31</v>
      </c>
      <c r="B12">
        <v>54.11174445813613</v>
      </c>
      <c r="C12">
        <v>78.918451242252701</v>
      </c>
      <c r="D12">
        <v>44.564450798798923</v>
      </c>
      <c r="E12">
        <v>47.731894362822594</v>
      </c>
      <c r="F12">
        <v>23.250526018165559</v>
      </c>
      <c r="G12">
        <v>31.73613942609018</v>
      </c>
      <c r="H12">
        <v>75.526681787836779</v>
      </c>
      <c r="I12">
        <v>77.567281635187683</v>
      </c>
      <c r="J12">
        <v>55.101979149433774</v>
      </c>
      <c r="K12">
        <v>43.008390566283666</v>
      </c>
      <c r="L12">
        <v>36.905009747863545</v>
      </c>
      <c r="M12">
        <v>60.230315368661174</v>
      </c>
      <c r="N12">
        <v>23.217673418386831</v>
      </c>
      <c r="P12" t="s">
        <v>31</v>
      </c>
      <c r="Q12">
        <v>17.489872565556528</v>
      </c>
      <c r="R12">
        <v>23.018476256097319</v>
      </c>
      <c r="S12">
        <v>13.942712012635713</v>
      </c>
      <c r="T12">
        <v>30.778943150848256</v>
      </c>
      <c r="U12">
        <v>36.048937829926416</v>
      </c>
      <c r="V12">
        <v>10.108863332978766</v>
      </c>
      <c r="W12">
        <v>70.983413852758801</v>
      </c>
      <c r="X12">
        <v>65.85085582553036</v>
      </c>
      <c r="Y12">
        <v>28.017537433292532</v>
      </c>
      <c r="Z12">
        <v>49.84641710803367</v>
      </c>
      <c r="AA12">
        <v>4.6168416154299399</v>
      </c>
      <c r="AB12">
        <v>74.055908926966666</v>
      </c>
      <c r="AC12">
        <v>11.616130102384371</v>
      </c>
    </row>
    <row r="13" spans="1:29" x14ac:dyDescent="0.3">
      <c r="A13" t="s">
        <v>19</v>
      </c>
      <c r="B13">
        <v>28.020065951663334</v>
      </c>
      <c r="C13">
        <v>17.332137487959248</v>
      </c>
      <c r="D13">
        <v>20.750891884361469</v>
      </c>
      <c r="E13">
        <v>78.520252172179198</v>
      </c>
      <c r="F13">
        <v>15.551801356484757</v>
      </c>
      <c r="G13">
        <v>19.615803512949356</v>
      </c>
      <c r="H13">
        <v>32.81185696749057</v>
      </c>
      <c r="I13">
        <v>67.58917967068534</v>
      </c>
      <c r="J13">
        <v>29.133188510491916</v>
      </c>
      <c r="K13">
        <v>35.696610828895835</v>
      </c>
      <c r="L13">
        <v>66.843043182133201</v>
      </c>
      <c r="M13">
        <v>41.949431139672015</v>
      </c>
      <c r="N13">
        <v>30.024384811905961</v>
      </c>
      <c r="P13" t="s">
        <v>19</v>
      </c>
      <c r="Q13">
        <v>35.825536376051296</v>
      </c>
      <c r="R13">
        <v>14.235303464192691</v>
      </c>
      <c r="S13">
        <v>46.500258548117642</v>
      </c>
      <c r="T13">
        <v>48.584721599034125</v>
      </c>
      <c r="U13">
        <v>3.3868484678901445</v>
      </c>
      <c r="V13">
        <v>75.993479538717381</v>
      </c>
      <c r="W13">
        <v>23.969556933828624</v>
      </c>
      <c r="X13">
        <v>71.820684931189433</v>
      </c>
      <c r="Y13">
        <v>46.056518533234076</v>
      </c>
      <c r="Z13">
        <v>77.607586471313596</v>
      </c>
      <c r="AA13">
        <v>37.882056702155829</v>
      </c>
      <c r="AB13">
        <v>41.098907126182993</v>
      </c>
      <c r="AC13">
        <v>71.783774452527695</v>
      </c>
    </row>
  </sheetData>
  <mergeCells count="4">
    <mergeCell ref="A1:N1"/>
    <mergeCell ref="P1:AC1"/>
    <mergeCell ref="A8:N8"/>
    <mergeCell ref="P8:AC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F4A7-241B-4608-95AD-52A7591049F0}">
  <dimension ref="A1:U8"/>
  <sheetViews>
    <sheetView workbookViewId="0">
      <selection activeCell="A2" sqref="A2"/>
    </sheetView>
  </sheetViews>
  <sheetFormatPr defaultRowHeight="14.4" x14ac:dyDescent="0.3"/>
  <sheetData>
    <row r="1" spans="1:21" x14ac:dyDescent="0.3">
      <c r="A1" s="4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3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</row>
    <row r="3" spans="1:21" x14ac:dyDescent="0.3">
      <c r="A3" s="1" t="s">
        <v>69</v>
      </c>
      <c r="B3" s="1" t="s">
        <v>71</v>
      </c>
      <c r="C3" s="1" t="s">
        <v>73</v>
      </c>
      <c r="D3" s="1" t="s">
        <v>71</v>
      </c>
      <c r="E3" s="1" t="s">
        <v>75</v>
      </c>
      <c r="F3" s="1" t="s">
        <v>78</v>
      </c>
      <c r="G3" s="1" t="s">
        <v>75</v>
      </c>
      <c r="H3" s="1" t="s">
        <v>82</v>
      </c>
      <c r="I3" s="1" t="s">
        <v>84</v>
      </c>
      <c r="J3" s="1">
        <f t="shared" ref="J3:U3" ca="1" si="0">RAND()</f>
        <v>0.20983304896397947</v>
      </c>
      <c r="K3" s="1">
        <f t="shared" ca="1" si="0"/>
        <v>0.64962005205141138</v>
      </c>
      <c r="L3" s="1">
        <f t="shared" ca="1" si="0"/>
        <v>0.61440098502811591</v>
      </c>
      <c r="M3" s="1">
        <f t="shared" ca="1" si="0"/>
        <v>0.75373790154732345</v>
      </c>
      <c r="N3" s="1">
        <f t="shared" ca="1" si="0"/>
        <v>0.75055323796027051</v>
      </c>
      <c r="O3" s="1">
        <f t="shared" ca="1" si="0"/>
        <v>0.16856521238119293</v>
      </c>
      <c r="P3" s="1">
        <f t="shared" ca="1" si="0"/>
        <v>0.45725536203857176</v>
      </c>
      <c r="Q3" s="1">
        <f t="shared" ca="1" si="0"/>
        <v>0.11515273598090914</v>
      </c>
      <c r="R3" s="1">
        <f t="shared" ca="1" si="0"/>
        <v>0.62449227356769221</v>
      </c>
      <c r="S3" s="1">
        <f t="shared" ca="1" si="0"/>
        <v>0.21256810661825942</v>
      </c>
      <c r="T3" s="1">
        <f t="shared" ca="1" si="0"/>
        <v>0.45390072612495591</v>
      </c>
      <c r="U3" s="1">
        <f t="shared" ca="1" si="0"/>
        <v>0.53093295802043095</v>
      </c>
    </row>
    <row r="4" spans="1:21" x14ac:dyDescent="0.3">
      <c r="A4" s="1" t="s">
        <v>69</v>
      </c>
      <c r="B4" s="1" t="s">
        <v>71</v>
      </c>
      <c r="C4" s="1" t="s">
        <v>73</v>
      </c>
      <c r="D4" s="1" t="s">
        <v>71</v>
      </c>
      <c r="E4" s="1" t="s">
        <v>75</v>
      </c>
      <c r="F4" s="1" t="s">
        <v>78</v>
      </c>
      <c r="G4" s="1" t="s">
        <v>75</v>
      </c>
      <c r="H4" s="1" t="s">
        <v>82</v>
      </c>
      <c r="I4" s="1" t="s">
        <v>85</v>
      </c>
      <c r="J4" s="1">
        <f t="shared" ref="J4:U8" ca="1" si="1">RAND()</f>
        <v>0.80833280880843106</v>
      </c>
      <c r="K4" s="1">
        <f t="shared" ca="1" si="1"/>
        <v>0.21614610505267406</v>
      </c>
      <c r="L4" s="1">
        <f t="shared" ca="1" si="1"/>
        <v>0.17664469407528283</v>
      </c>
      <c r="M4" s="1">
        <f t="shared" ca="1" si="1"/>
        <v>0.85074981578015729</v>
      </c>
      <c r="N4" s="1">
        <f t="shared" ca="1" si="1"/>
        <v>3.0002170741771139E-2</v>
      </c>
      <c r="O4" s="1">
        <f t="shared" ca="1" si="1"/>
        <v>0.48795355712097799</v>
      </c>
      <c r="P4" s="1">
        <f t="shared" ca="1" si="1"/>
        <v>0.57953469858393258</v>
      </c>
      <c r="Q4" s="1">
        <f t="shared" ca="1" si="1"/>
        <v>0.97672010400591314</v>
      </c>
      <c r="R4" s="1">
        <f t="shared" ca="1" si="1"/>
        <v>0.14392063187931581</v>
      </c>
      <c r="S4" s="1">
        <f t="shared" ca="1" si="1"/>
        <v>0.18926330192644192</v>
      </c>
      <c r="T4" s="1">
        <f t="shared" ca="1" si="1"/>
        <v>0.53747882524448853</v>
      </c>
      <c r="U4" s="1">
        <f t="shared" ca="1" si="1"/>
        <v>0.4323299551679346</v>
      </c>
    </row>
    <row r="5" spans="1:21" x14ac:dyDescent="0.3">
      <c r="A5" s="1" t="s">
        <v>70</v>
      </c>
      <c r="B5" s="1" t="s">
        <v>72</v>
      </c>
      <c r="C5" s="1" t="s">
        <v>72</v>
      </c>
      <c r="D5" s="1" t="s">
        <v>74</v>
      </c>
      <c r="E5" s="1" t="s">
        <v>76</v>
      </c>
      <c r="F5" s="1" t="s">
        <v>78</v>
      </c>
      <c r="G5" s="1" t="s">
        <v>80</v>
      </c>
      <c r="H5" s="1" t="s">
        <v>83</v>
      </c>
      <c r="I5" s="1" t="s">
        <v>86</v>
      </c>
      <c r="J5" s="1">
        <f t="shared" ca="1" si="1"/>
        <v>0.64967911122931132</v>
      </c>
      <c r="K5" s="1">
        <f t="shared" ca="1" si="1"/>
        <v>0.49634158431226927</v>
      </c>
      <c r="L5" s="1">
        <f t="shared" ca="1" si="1"/>
        <v>0.55993242540994015</v>
      </c>
      <c r="M5" s="1">
        <f t="shared" ca="1" si="1"/>
        <v>0.65968682998310413</v>
      </c>
      <c r="N5" s="1">
        <f t="shared" ca="1" si="1"/>
        <v>0.92285990445461052</v>
      </c>
      <c r="O5" s="1">
        <f t="shared" ca="1" si="1"/>
        <v>0.56487598619056867</v>
      </c>
      <c r="P5" s="1">
        <f t="shared" ca="1" si="1"/>
        <v>0.8870136864029845</v>
      </c>
      <c r="Q5" s="1">
        <f t="shared" ca="1" si="1"/>
        <v>0.39061313429427513</v>
      </c>
      <c r="R5" s="1">
        <f t="shared" ca="1" si="1"/>
        <v>0.83273970911506989</v>
      </c>
      <c r="S5" s="1">
        <f t="shared" ca="1" si="1"/>
        <v>0.42468697627296914</v>
      </c>
      <c r="T5" s="1">
        <f t="shared" ca="1" si="1"/>
        <v>0.30225174926107201</v>
      </c>
      <c r="U5" s="1">
        <f t="shared" ca="1" si="1"/>
        <v>0.41007934518017353</v>
      </c>
    </row>
    <row r="6" spans="1:21" x14ac:dyDescent="0.3">
      <c r="A6" s="1" t="s">
        <v>70</v>
      </c>
      <c r="B6" s="1" t="s">
        <v>14</v>
      </c>
      <c r="C6" s="1" t="s">
        <v>73</v>
      </c>
      <c r="D6" s="1" t="s">
        <v>71</v>
      </c>
      <c r="E6" s="1" t="s">
        <v>77</v>
      </c>
      <c r="F6" s="1" t="s">
        <v>79</v>
      </c>
      <c r="G6" s="1" t="s">
        <v>81</v>
      </c>
      <c r="H6" s="1" t="s">
        <v>83</v>
      </c>
      <c r="I6" s="1" t="s">
        <v>84</v>
      </c>
      <c r="J6" s="1">
        <f t="shared" ca="1" si="1"/>
        <v>6.3370262116304144E-2</v>
      </c>
      <c r="K6" s="1">
        <f t="shared" ca="1" si="1"/>
        <v>0.88015468635211946</v>
      </c>
      <c r="L6" s="1">
        <f t="shared" ca="1" si="1"/>
        <v>0.14047284253541481</v>
      </c>
      <c r="M6" s="1">
        <f t="shared" ca="1" si="1"/>
        <v>0.94752080593164612</v>
      </c>
      <c r="N6" s="1">
        <f t="shared" ca="1" si="1"/>
        <v>0.85063358196168037</v>
      </c>
      <c r="O6" s="1">
        <f t="shared" ca="1" si="1"/>
        <v>6.4803860463679253E-2</v>
      </c>
      <c r="P6" s="1">
        <f t="shared" ca="1" si="1"/>
        <v>0.94271582564833667</v>
      </c>
      <c r="Q6" s="1">
        <f t="shared" ca="1" si="1"/>
        <v>4.2818243254812649E-2</v>
      </c>
      <c r="R6" s="1">
        <f t="shared" ca="1" si="1"/>
        <v>0.11971662340536304</v>
      </c>
      <c r="S6" s="1">
        <f t="shared" ca="1" si="1"/>
        <v>0.89319663644678282</v>
      </c>
      <c r="T6" s="1">
        <f t="shared" ca="1" si="1"/>
        <v>0.50212613601913381</v>
      </c>
      <c r="U6" s="1">
        <f t="shared" ca="1" si="1"/>
        <v>0.33694329937594403</v>
      </c>
    </row>
    <row r="7" spans="1:21" x14ac:dyDescent="0.3">
      <c r="A7" s="1" t="s">
        <v>70</v>
      </c>
      <c r="B7" s="1" t="s">
        <v>72</v>
      </c>
      <c r="C7" s="1" t="s">
        <v>72</v>
      </c>
      <c r="D7" s="1" t="s">
        <v>74</v>
      </c>
      <c r="E7" s="1" t="s">
        <v>76</v>
      </c>
      <c r="F7" s="1" t="s">
        <v>78</v>
      </c>
      <c r="G7" s="1" t="s">
        <v>80</v>
      </c>
      <c r="H7" s="1" t="s">
        <v>83</v>
      </c>
      <c r="I7" s="1" t="s">
        <v>85</v>
      </c>
      <c r="J7" s="1">
        <f t="shared" ca="1" si="1"/>
        <v>0.26445911895773833</v>
      </c>
      <c r="K7" s="1">
        <f t="shared" ca="1" si="1"/>
        <v>0.89143106342827139</v>
      </c>
      <c r="L7" s="1">
        <f t="shared" ca="1" si="1"/>
        <v>0.66335316520181387</v>
      </c>
      <c r="M7" s="1">
        <f t="shared" ca="1" si="1"/>
        <v>0.48477994188230777</v>
      </c>
      <c r="N7" s="1">
        <f t="shared" ca="1" si="1"/>
        <v>0.64665297654894038</v>
      </c>
      <c r="O7" s="1">
        <f t="shared" ca="1" si="1"/>
        <v>0.36724950904731379</v>
      </c>
      <c r="P7" s="1">
        <f t="shared" ca="1" si="1"/>
        <v>0.64496513490254281</v>
      </c>
      <c r="Q7" s="1">
        <f t="shared" ca="1" si="1"/>
        <v>0.9681141330144396</v>
      </c>
      <c r="R7" s="1">
        <f t="shared" ca="1" si="1"/>
        <v>0.74524399819826137</v>
      </c>
      <c r="S7" s="1">
        <f t="shared" ca="1" si="1"/>
        <v>0.27666410595427782</v>
      </c>
      <c r="T7" s="1">
        <f t="shared" ca="1" si="1"/>
        <v>0.46458622723917375</v>
      </c>
      <c r="U7" s="1">
        <f t="shared" ca="1" si="1"/>
        <v>0.92222252539876148</v>
      </c>
    </row>
    <row r="8" spans="1:21" x14ac:dyDescent="0.3">
      <c r="A8" s="1" t="s">
        <v>70</v>
      </c>
      <c r="B8" s="1" t="s">
        <v>14</v>
      </c>
      <c r="C8" s="1" t="s">
        <v>73</v>
      </c>
      <c r="D8" s="1" t="s">
        <v>71</v>
      </c>
      <c r="E8" s="1" t="s">
        <v>77</v>
      </c>
      <c r="F8" s="1" t="s">
        <v>79</v>
      </c>
      <c r="G8" s="1" t="s">
        <v>81</v>
      </c>
      <c r="H8" s="1" t="s">
        <v>83</v>
      </c>
      <c r="I8" s="1" t="s">
        <v>86</v>
      </c>
      <c r="J8" s="1">
        <f t="shared" ca="1" si="1"/>
        <v>0.12632599305228087</v>
      </c>
      <c r="K8" s="1">
        <f t="shared" ca="1" si="1"/>
        <v>0.81858451494821094</v>
      </c>
      <c r="L8" s="1">
        <f t="shared" ca="1" si="1"/>
        <v>0.71379711599409712</v>
      </c>
      <c r="M8" s="1">
        <f t="shared" ca="1" si="1"/>
        <v>0.98089590162321794</v>
      </c>
      <c r="N8" s="1">
        <f t="shared" ca="1" si="1"/>
        <v>0.23443578858212599</v>
      </c>
      <c r="O8" s="1">
        <f t="shared" ca="1" si="1"/>
        <v>0.21063521451687184</v>
      </c>
      <c r="P8" s="1">
        <f t="shared" ca="1" si="1"/>
        <v>0.3948082406251151</v>
      </c>
      <c r="Q8" s="1">
        <f t="shared" ca="1" si="1"/>
        <v>0.8538467240587454</v>
      </c>
      <c r="R8" s="1">
        <f t="shared" ca="1" si="1"/>
        <v>0.56365674008465194</v>
      </c>
      <c r="S8" s="1">
        <f t="shared" ca="1" si="1"/>
        <v>0.3900142053949669</v>
      </c>
      <c r="T8" s="1">
        <f t="shared" ca="1" si="1"/>
        <v>0.46598728702527337</v>
      </c>
      <c r="U8" s="1">
        <f t="shared" ca="1" si="1"/>
        <v>0.99949937064014005</v>
      </c>
    </row>
  </sheetData>
  <mergeCells count="1">
    <mergeCell ref="A1:U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4C4D-490D-469B-9B65-C40B2D8557D7}">
  <dimension ref="A1:N17"/>
  <sheetViews>
    <sheetView workbookViewId="0">
      <selection sqref="A1:N1"/>
    </sheetView>
  </sheetViews>
  <sheetFormatPr defaultRowHeight="14.4" x14ac:dyDescent="0.3"/>
  <cols>
    <col min="1" max="1" width="22.77734375" customWidth="1"/>
  </cols>
  <sheetData>
    <row r="1" spans="1:14" x14ac:dyDescent="0.3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>
        <f t="shared" ref="B3:N3" si="0">SUM(B4:B7)</f>
        <v>2.5744203185548846</v>
      </c>
      <c r="C3">
        <f t="shared" si="0"/>
        <v>3.2931817071268226</v>
      </c>
      <c r="D3">
        <f t="shared" si="0"/>
        <v>2.6682918208733661</v>
      </c>
      <c r="E3">
        <f t="shared" si="0"/>
        <v>1.2509715691653842</v>
      </c>
      <c r="F3">
        <f t="shared" si="0"/>
        <v>2.669181001828115</v>
      </c>
      <c r="G3">
        <f t="shared" si="0"/>
        <v>1.2259604219803308</v>
      </c>
      <c r="H3">
        <f t="shared" si="0"/>
        <v>1.644929115603611</v>
      </c>
      <c r="I3">
        <f t="shared" si="0"/>
        <v>2.0636538667955469</v>
      </c>
      <c r="J3">
        <f t="shared" si="0"/>
        <v>1.7648749637808394</v>
      </c>
      <c r="K3">
        <f t="shared" si="0"/>
        <v>2.5241122285613247</v>
      </c>
      <c r="L3">
        <f t="shared" si="0"/>
        <v>1.9696572215592987</v>
      </c>
      <c r="M3">
        <f t="shared" si="0"/>
        <v>3.0257655903073259</v>
      </c>
      <c r="N3">
        <f t="shared" si="0"/>
        <v>0.89959164539216896</v>
      </c>
    </row>
    <row r="4" spans="1:14" x14ac:dyDescent="0.3">
      <c r="A4" t="s">
        <v>15</v>
      </c>
      <c r="B4">
        <v>0.16107037958324377</v>
      </c>
      <c r="C4">
        <v>0.94707499098196057</v>
      </c>
      <c r="D4">
        <v>0.96411248311952158</v>
      </c>
      <c r="E4">
        <v>1.4756335604728776E-2</v>
      </c>
      <c r="F4">
        <v>0.38216517155213858</v>
      </c>
      <c r="G4">
        <v>6.785557181690216E-2</v>
      </c>
      <c r="H4">
        <v>0.58803630017373854</v>
      </c>
      <c r="I4">
        <v>0.35632239178637615</v>
      </c>
      <c r="J4">
        <v>0.9504930153823401</v>
      </c>
      <c r="K4">
        <v>0.72950872410855083</v>
      </c>
      <c r="L4">
        <v>0.94007246583539739</v>
      </c>
      <c r="M4">
        <v>0.66555067488707742</v>
      </c>
      <c r="N4">
        <v>0.11470512712178615</v>
      </c>
    </row>
    <row r="5" spans="1:14" x14ac:dyDescent="0.3">
      <c r="A5" t="s">
        <v>16</v>
      </c>
      <c r="B5">
        <v>0.92003764589268677</v>
      </c>
      <c r="C5">
        <v>0.96618909320822077</v>
      </c>
      <c r="D5">
        <v>0.70123974093521269</v>
      </c>
      <c r="E5">
        <v>0.10596260135190605</v>
      </c>
      <c r="F5">
        <v>0.77255607008719462</v>
      </c>
      <c r="G5">
        <v>0.52944201813439595</v>
      </c>
      <c r="H5">
        <v>0.28168584725702484</v>
      </c>
      <c r="I5">
        <v>7.7201633003109782E-2</v>
      </c>
      <c r="J5">
        <v>0.41404021576866945</v>
      </c>
      <c r="K5">
        <v>0.17823827083870047</v>
      </c>
      <c r="L5">
        <v>0.57546934211644252</v>
      </c>
      <c r="M5">
        <v>0.85667682062480033</v>
      </c>
      <c r="N5">
        <v>0.63198406355610592</v>
      </c>
    </row>
    <row r="6" spans="1:14" x14ac:dyDescent="0.3">
      <c r="A6" t="s">
        <v>17</v>
      </c>
      <c r="B6">
        <v>0.85438444779581724</v>
      </c>
      <c r="C6">
        <v>0.47822464507543949</v>
      </c>
      <c r="D6">
        <v>0.81626923136433094</v>
      </c>
      <c r="E6">
        <v>0.31469077540739909</v>
      </c>
      <c r="F6">
        <v>0.79827020049992081</v>
      </c>
      <c r="G6">
        <v>0.43371097435054273</v>
      </c>
      <c r="H6">
        <v>0.64578217268414451</v>
      </c>
      <c r="I6">
        <v>0.99323691794940816</v>
      </c>
      <c r="J6">
        <v>0.25598489685481418</v>
      </c>
      <c r="K6">
        <v>0.65825665903965214</v>
      </c>
      <c r="L6">
        <v>0.2845915735312442</v>
      </c>
      <c r="M6">
        <v>0.67089696558404066</v>
      </c>
      <c r="N6">
        <v>1.7505169674120413E-2</v>
      </c>
    </row>
    <row r="7" spans="1:14" x14ac:dyDescent="0.3">
      <c r="A7" t="s">
        <v>18</v>
      </c>
      <c r="B7">
        <v>0.63892784528313651</v>
      </c>
      <c r="C7">
        <v>0.90169297786120162</v>
      </c>
      <c r="D7">
        <v>0.18667036545430082</v>
      </c>
      <c r="E7">
        <v>0.81556185680135029</v>
      </c>
      <c r="F7">
        <v>0.716189559688861</v>
      </c>
      <c r="G7">
        <v>0.19495185767848999</v>
      </c>
      <c r="H7">
        <v>0.12942479548870323</v>
      </c>
      <c r="I7">
        <v>0.63689292405665276</v>
      </c>
      <c r="J7">
        <v>0.14435683577501568</v>
      </c>
      <c r="K7">
        <v>0.95810857457442111</v>
      </c>
      <c r="L7">
        <v>0.16952384007621457</v>
      </c>
      <c r="M7">
        <v>0.83264112921140765</v>
      </c>
      <c r="N7">
        <v>0.13539728504015647</v>
      </c>
    </row>
    <row r="8" spans="1:14" x14ac:dyDescent="0.3">
      <c r="A8" t="s">
        <v>19</v>
      </c>
      <c r="B8">
        <f t="shared" ref="B8:N8" si="1">SUM(B9:B12)</f>
        <v>2.2082902077081359</v>
      </c>
      <c r="C8">
        <f t="shared" si="1"/>
        <v>1.605218686440117</v>
      </c>
      <c r="D8">
        <f t="shared" si="1"/>
        <v>2.1051799746321742</v>
      </c>
      <c r="E8">
        <f t="shared" si="1"/>
        <v>2.1367641918112552</v>
      </c>
      <c r="F8">
        <f t="shared" si="1"/>
        <v>2.2801876216617027</v>
      </c>
      <c r="G8">
        <f t="shared" si="1"/>
        <v>1.9136483978749665</v>
      </c>
      <c r="H8">
        <f t="shared" si="1"/>
        <v>2.1948800772141852</v>
      </c>
      <c r="I8">
        <f t="shared" si="1"/>
        <v>2.5516911861250651</v>
      </c>
      <c r="J8">
        <f t="shared" si="1"/>
        <v>1.4101184048142821</v>
      </c>
      <c r="K8">
        <f t="shared" si="1"/>
        <v>2.1210036938778352</v>
      </c>
      <c r="L8">
        <f t="shared" si="1"/>
        <v>2.1686919091276771</v>
      </c>
      <c r="M8">
        <f t="shared" si="1"/>
        <v>1.8532976530211012</v>
      </c>
      <c r="N8">
        <f t="shared" si="1"/>
        <v>1.9420780139970568</v>
      </c>
    </row>
    <row r="9" spans="1:14" x14ac:dyDescent="0.3">
      <c r="A9" t="s">
        <v>15</v>
      </c>
      <c r="B9">
        <v>0.83513383164917976</v>
      </c>
      <c r="C9">
        <v>0.22493499954681684</v>
      </c>
      <c r="D9">
        <v>0.63653503699003566</v>
      </c>
      <c r="E9">
        <v>0.75378589827450049</v>
      </c>
      <c r="F9">
        <v>6.3119985224117658E-2</v>
      </c>
      <c r="G9">
        <v>0.50655206200678438</v>
      </c>
      <c r="H9">
        <v>0.40855284409710291</v>
      </c>
      <c r="I9">
        <v>0.77653918301074776</v>
      </c>
      <c r="J9">
        <v>9.2429782968020957E-3</v>
      </c>
      <c r="K9">
        <v>0.49336871727698894</v>
      </c>
      <c r="L9">
        <v>0.27217687244180189</v>
      </c>
      <c r="M9">
        <v>0.84264790569124026</v>
      </c>
      <c r="N9">
        <v>0.1845668880661766</v>
      </c>
    </row>
    <row r="10" spans="1:14" x14ac:dyDescent="0.3">
      <c r="A10" t="s">
        <v>16</v>
      </c>
      <c r="B10">
        <v>0.7605919513394741</v>
      </c>
      <c r="C10">
        <v>0.32956267971307285</v>
      </c>
      <c r="D10">
        <v>0.46487786594638458</v>
      </c>
      <c r="E10">
        <v>0.83602009819096967</v>
      </c>
      <c r="F10">
        <v>0.57509468359279425</v>
      </c>
      <c r="G10">
        <v>0.63632130145607124</v>
      </c>
      <c r="H10">
        <v>0.37567858952312172</v>
      </c>
      <c r="I10">
        <v>0.54330082502433252</v>
      </c>
      <c r="J10">
        <v>0.94214533186898097</v>
      </c>
      <c r="K10">
        <v>0.48596463836395087</v>
      </c>
      <c r="L10">
        <v>0.39825037960395104</v>
      </c>
      <c r="M10">
        <v>0.37606023863839289</v>
      </c>
      <c r="N10">
        <v>0.99063477101351305</v>
      </c>
    </row>
    <row r="11" spans="1:14" x14ac:dyDescent="0.3">
      <c r="A11" t="s">
        <v>17</v>
      </c>
      <c r="B11">
        <v>0.1511347744030288</v>
      </c>
      <c r="C11">
        <v>0.55430456565627539</v>
      </c>
      <c r="D11">
        <v>0.43730230924557911</v>
      </c>
      <c r="E11">
        <v>0.33492399320404709</v>
      </c>
      <c r="F11">
        <v>0.96951397246231796</v>
      </c>
      <c r="G11">
        <v>0.21657867726923563</v>
      </c>
      <c r="H11">
        <v>0.68195195194820746</v>
      </c>
      <c r="I11">
        <v>0.92636342896998669</v>
      </c>
      <c r="J11">
        <v>0.21971491039484337</v>
      </c>
      <c r="K11">
        <v>0.3386074240208391</v>
      </c>
      <c r="L11">
        <v>0.9656610356530444</v>
      </c>
      <c r="M11">
        <v>0.45178878142996426</v>
      </c>
      <c r="N11">
        <v>0.13106178032799931</v>
      </c>
    </row>
    <row r="12" spans="1:14" x14ac:dyDescent="0.3">
      <c r="A12" t="s">
        <v>18</v>
      </c>
      <c r="B12">
        <v>0.46142965031645333</v>
      </c>
      <c r="C12">
        <v>0.49641644152395203</v>
      </c>
      <c r="D12">
        <v>0.56646476245017496</v>
      </c>
      <c r="E12">
        <v>0.21203420214173785</v>
      </c>
      <c r="F12">
        <v>0.67245898038247287</v>
      </c>
      <c r="G12">
        <v>0.5541963571428753</v>
      </c>
      <c r="H12">
        <v>0.72869669164575301</v>
      </c>
      <c r="I12">
        <v>0.30548774911999799</v>
      </c>
      <c r="J12">
        <v>0.23901518425365564</v>
      </c>
      <c r="K12">
        <v>0.80306291421605658</v>
      </c>
      <c r="L12">
        <v>0.53260362142888007</v>
      </c>
      <c r="M12">
        <v>0.18280072726150365</v>
      </c>
      <c r="N12">
        <v>0.63581457458936796</v>
      </c>
    </row>
    <row r="13" spans="1:14" x14ac:dyDescent="0.3">
      <c r="A13" t="s">
        <v>20</v>
      </c>
      <c r="B13">
        <f t="shared" ref="B13:N13" si="2">SUM(B14:B17)</f>
        <v>2.4052693378743326</v>
      </c>
      <c r="C13">
        <f t="shared" si="2"/>
        <v>0.70206202283549479</v>
      </c>
      <c r="D13">
        <f t="shared" si="2"/>
        <v>1.7197512047654957</v>
      </c>
      <c r="E13">
        <f t="shared" si="2"/>
        <v>1.6436821782295707</v>
      </c>
      <c r="F13">
        <f t="shared" si="2"/>
        <v>2.259636853989837</v>
      </c>
      <c r="G13">
        <f t="shared" si="2"/>
        <v>1.5203122443674908</v>
      </c>
      <c r="H13">
        <f t="shared" si="2"/>
        <v>2.3905248777565209</v>
      </c>
      <c r="I13">
        <f t="shared" si="2"/>
        <v>2.307026620020169</v>
      </c>
      <c r="J13">
        <f t="shared" si="2"/>
        <v>1.9452890395578812</v>
      </c>
      <c r="K13">
        <f t="shared" si="2"/>
        <v>1.8793008622180445</v>
      </c>
      <c r="L13">
        <f t="shared" si="2"/>
        <v>1.429876849530944</v>
      </c>
      <c r="M13">
        <f t="shared" si="2"/>
        <v>0.92131759752586528</v>
      </c>
      <c r="N13">
        <f t="shared" si="2"/>
        <v>1.6826270196965747</v>
      </c>
    </row>
    <row r="14" spans="1:14" x14ac:dyDescent="0.3">
      <c r="A14" t="s">
        <v>15</v>
      </c>
      <c r="B14">
        <v>0.60361437342399415</v>
      </c>
      <c r="C14">
        <v>0.33029298425543818</v>
      </c>
      <c r="D14">
        <v>0.77290981810215564</v>
      </c>
      <c r="E14">
        <v>2.7227750083151925E-2</v>
      </c>
      <c r="F14">
        <v>0.88237816306115058</v>
      </c>
      <c r="G14">
        <v>0.61871201264322084</v>
      </c>
      <c r="H14">
        <v>0.73222051245366748</v>
      </c>
      <c r="I14">
        <v>7.9578717576559432E-2</v>
      </c>
      <c r="J14">
        <v>0.51261589745281955</v>
      </c>
      <c r="K14">
        <v>0.66376473200725528</v>
      </c>
      <c r="L14">
        <v>6.2740716360838111E-2</v>
      </c>
      <c r="M14">
        <v>0.35168498671491855</v>
      </c>
      <c r="N14">
        <v>0.62738889649247265</v>
      </c>
    </row>
    <row r="15" spans="1:14" x14ac:dyDescent="0.3">
      <c r="A15" t="s">
        <v>16</v>
      </c>
      <c r="B15">
        <v>0.51112999265005254</v>
      </c>
      <c r="C15">
        <v>7.3718449360938298E-2</v>
      </c>
      <c r="D15">
        <v>0.12465299025121057</v>
      </c>
      <c r="E15">
        <v>0.67584251674941831</v>
      </c>
      <c r="F15">
        <v>0.39753659795966145</v>
      </c>
      <c r="G15">
        <v>0.44068725108810858</v>
      </c>
      <c r="H15">
        <v>0.39345826699770281</v>
      </c>
      <c r="I15">
        <v>0.52809768563067805</v>
      </c>
      <c r="J15">
        <v>0.37656156054423962</v>
      </c>
      <c r="K15">
        <v>0.15257123116243876</v>
      </c>
      <c r="L15">
        <v>0.38406563747000066</v>
      </c>
      <c r="M15">
        <v>0.214930997169687</v>
      </c>
      <c r="N15">
        <v>0.67855889485300502</v>
      </c>
    </row>
    <row r="16" spans="1:14" x14ac:dyDescent="0.3">
      <c r="A16" t="s">
        <v>17</v>
      </c>
      <c r="B16">
        <v>0.85369102838201227</v>
      </c>
      <c r="C16">
        <v>2.5250219262160423E-2</v>
      </c>
      <c r="D16">
        <v>0.65581748771052151</v>
      </c>
      <c r="E16">
        <v>0.57792559322976833</v>
      </c>
      <c r="F16">
        <v>0.56213680571680003</v>
      </c>
      <c r="G16">
        <v>2.771099263117871E-2</v>
      </c>
      <c r="H16">
        <v>0.72669345381627515</v>
      </c>
      <c r="I16">
        <v>0.88783361225016966</v>
      </c>
      <c r="J16">
        <v>0.66477077012123575</v>
      </c>
      <c r="K16">
        <v>0.91013341561563232</v>
      </c>
      <c r="L16">
        <v>0.62031431412436688</v>
      </c>
      <c r="M16">
        <v>3.9523384424048125E-2</v>
      </c>
      <c r="N16">
        <v>2.0481643957968698E-2</v>
      </c>
    </row>
    <row r="17" spans="1:14" x14ac:dyDescent="0.3">
      <c r="A17" t="s">
        <v>18</v>
      </c>
      <c r="B17">
        <v>0.43683394341827375</v>
      </c>
      <c r="C17">
        <v>0.27280036995695789</v>
      </c>
      <c r="D17">
        <v>0.16637090870160787</v>
      </c>
      <c r="E17">
        <v>0.36268631816723229</v>
      </c>
      <c r="F17">
        <v>0.41758528725222488</v>
      </c>
      <c r="G17">
        <v>0.43320198800498255</v>
      </c>
      <c r="H17">
        <v>0.53815264448887523</v>
      </c>
      <c r="I17">
        <v>0.81151660456276198</v>
      </c>
      <c r="J17">
        <v>0.39134081143958632</v>
      </c>
      <c r="K17">
        <v>0.15283148343271802</v>
      </c>
      <c r="L17">
        <v>0.36275618157573819</v>
      </c>
      <c r="M17">
        <v>0.31517822921721161</v>
      </c>
      <c r="N17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FD33-2F1D-40D0-A8F7-944F4651855A}">
  <dimension ref="A1:N17"/>
  <sheetViews>
    <sheetView workbookViewId="0">
      <selection sqref="A1:N17"/>
    </sheetView>
  </sheetViews>
  <sheetFormatPr defaultRowHeight="14.4" x14ac:dyDescent="0.3"/>
  <sheetData>
    <row r="1" spans="1:14" x14ac:dyDescent="0.3">
      <c r="A1" s="3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>
        <f t="shared" ref="B3:N3" si="0">SUM(B4:B7)</f>
        <v>2.5744203185548846</v>
      </c>
      <c r="C3">
        <f t="shared" si="0"/>
        <v>3.2931817071268226</v>
      </c>
      <c r="D3">
        <f t="shared" si="0"/>
        <v>2.6682918208733661</v>
      </c>
      <c r="E3">
        <f t="shared" si="0"/>
        <v>1.2509715691653842</v>
      </c>
      <c r="F3">
        <f t="shared" si="0"/>
        <v>2.669181001828115</v>
      </c>
      <c r="G3">
        <f t="shared" si="0"/>
        <v>1.2259604219803308</v>
      </c>
      <c r="H3">
        <f t="shared" si="0"/>
        <v>1.644929115603611</v>
      </c>
      <c r="I3">
        <f t="shared" si="0"/>
        <v>2.0636538667955469</v>
      </c>
      <c r="J3">
        <f t="shared" si="0"/>
        <v>1.7648749637808394</v>
      </c>
      <c r="K3">
        <f t="shared" si="0"/>
        <v>2.5241122285613247</v>
      </c>
      <c r="L3">
        <f t="shared" si="0"/>
        <v>1.9696572215592987</v>
      </c>
      <c r="M3">
        <f t="shared" si="0"/>
        <v>3.0257655903073259</v>
      </c>
      <c r="N3">
        <f t="shared" si="0"/>
        <v>0.89959164539216896</v>
      </c>
    </row>
    <row r="4" spans="1:14" x14ac:dyDescent="0.3">
      <c r="A4" t="s">
        <v>15</v>
      </c>
      <c r="B4">
        <v>0.16107037958324377</v>
      </c>
      <c r="C4">
        <v>0.94707499098196057</v>
      </c>
      <c r="D4">
        <v>0.96411248311952158</v>
      </c>
      <c r="E4">
        <v>1.4756335604728776E-2</v>
      </c>
      <c r="F4">
        <v>0.38216517155213858</v>
      </c>
      <c r="G4">
        <v>6.785557181690216E-2</v>
      </c>
      <c r="H4">
        <v>0.58803630017373854</v>
      </c>
      <c r="I4">
        <v>0.35632239178637615</v>
      </c>
      <c r="J4">
        <v>0.9504930153823401</v>
      </c>
      <c r="K4">
        <v>0.72950872410855083</v>
      </c>
      <c r="L4">
        <v>0.94007246583539739</v>
      </c>
      <c r="M4">
        <v>0.66555067488707742</v>
      </c>
      <c r="N4">
        <v>0.11470512712178615</v>
      </c>
    </row>
    <row r="5" spans="1:14" x14ac:dyDescent="0.3">
      <c r="A5" t="s">
        <v>16</v>
      </c>
      <c r="B5">
        <v>0.92003764589268677</v>
      </c>
      <c r="C5">
        <v>0.96618909320822077</v>
      </c>
      <c r="D5">
        <v>0.70123974093521269</v>
      </c>
      <c r="E5">
        <v>0.10596260135190605</v>
      </c>
      <c r="F5">
        <v>0.77255607008719462</v>
      </c>
      <c r="G5">
        <v>0.52944201813439595</v>
      </c>
      <c r="H5">
        <v>0.28168584725702484</v>
      </c>
      <c r="I5">
        <v>7.7201633003109782E-2</v>
      </c>
      <c r="J5">
        <v>0.41404021576866945</v>
      </c>
      <c r="K5">
        <v>0.17823827083870047</v>
      </c>
      <c r="L5">
        <v>0.57546934211644252</v>
      </c>
      <c r="M5">
        <v>0.85667682062480033</v>
      </c>
      <c r="N5">
        <v>0.63198406355610592</v>
      </c>
    </row>
    <row r="6" spans="1:14" x14ac:dyDescent="0.3">
      <c r="A6" t="s">
        <v>17</v>
      </c>
      <c r="B6">
        <v>0.85438444779581724</v>
      </c>
      <c r="C6">
        <v>0.47822464507543949</v>
      </c>
      <c r="D6">
        <v>0.81626923136433094</v>
      </c>
      <c r="E6">
        <v>0.31469077540739909</v>
      </c>
      <c r="F6">
        <v>0.79827020049992081</v>
      </c>
      <c r="G6">
        <v>0.43371097435054273</v>
      </c>
      <c r="H6">
        <v>0.64578217268414451</v>
      </c>
      <c r="I6">
        <v>0.99323691794940816</v>
      </c>
      <c r="J6">
        <v>0.25598489685481418</v>
      </c>
      <c r="K6">
        <v>0.65825665903965214</v>
      </c>
      <c r="L6">
        <v>0.2845915735312442</v>
      </c>
      <c r="M6">
        <v>0.67089696558404066</v>
      </c>
      <c r="N6">
        <v>1.7505169674120413E-2</v>
      </c>
    </row>
    <row r="7" spans="1:14" x14ac:dyDescent="0.3">
      <c r="A7" t="s">
        <v>18</v>
      </c>
      <c r="B7">
        <v>0.63892784528313651</v>
      </c>
      <c r="C7">
        <v>0.90169297786120162</v>
      </c>
      <c r="D7">
        <v>0.18667036545430082</v>
      </c>
      <c r="E7">
        <v>0.81556185680135029</v>
      </c>
      <c r="F7">
        <v>0.716189559688861</v>
      </c>
      <c r="G7">
        <v>0.19495185767848999</v>
      </c>
      <c r="H7">
        <v>0.12942479548870323</v>
      </c>
      <c r="I7">
        <v>0.63689292405665276</v>
      </c>
      <c r="J7">
        <v>0.14435683577501568</v>
      </c>
      <c r="K7">
        <v>0.95810857457442111</v>
      </c>
      <c r="L7">
        <v>0.16952384007621457</v>
      </c>
      <c r="M7">
        <v>0.83264112921140765</v>
      </c>
      <c r="N7">
        <v>0.13539728504015647</v>
      </c>
    </row>
    <row r="8" spans="1:14" x14ac:dyDescent="0.3">
      <c r="A8" t="s">
        <v>19</v>
      </c>
      <c r="B8">
        <f t="shared" ref="B8:N8" si="1">SUM(B9:B12)</f>
        <v>2.2082902077081359</v>
      </c>
      <c r="C8">
        <f t="shared" si="1"/>
        <v>1.605218686440117</v>
      </c>
      <c r="D8">
        <f t="shared" si="1"/>
        <v>2.1051799746321742</v>
      </c>
      <c r="E8">
        <f t="shared" si="1"/>
        <v>2.1367641918112552</v>
      </c>
      <c r="F8">
        <f t="shared" si="1"/>
        <v>2.2801876216617027</v>
      </c>
      <c r="G8">
        <f t="shared" si="1"/>
        <v>1.9136483978749665</v>
      </c>
      <c r="H8">
        <f t="shared" si="1"/>
        <v>2.1948800772141852</v>
      </c>
      <c r="I8">
        <f t="shared" si="1"/>
        <v>2.5516911861250651</v>
      </c>
      <c r="J8">
        <f t="shared" si="1"/>
        <v>1.4101184048142821</v>
      </c>
      <c r="K8">
        <f t="shared" si="1"/>
        <v>2.1210036938778352</v>
      </c>
      <c r="L8">
        <f t="shared" si="1"/>
        <v>2.1686919091276771</v>
      </c>
      <c r="M8">
        <f t="shared" si="1"/>
        <v>1.8532976530211012</v>
      </c>
      <c r="N8">
        <f t="shared" si="1"/>
        <v>1.9420780139970568</v>
      </c>
    </row>
    <row r="9" spans="1:14" x14ac:dyDescent="0.3">
      <c r="A9" t="s">
        <v>15</v>
      </c>
      <c r="B9">
        <v>0.83513383164917976</v>
      </c>
      <c r="C9">
        <v>0.22493499954681684</v>
      </c>
      <c r="D9">
        <v>0.63653503699003566</v>
      </c>
      <c r="E9">
        <v>0.75378589827450049</v>
      </c>
      <c r="F9">
        <v>6.3119985224117658E-2</v>
      </c>
      <c r="G9">
        <v>0.50655206200678438</v>
      </c>
      <c r="H9">
        <v>0.40855284409710291</v>
      </c>
      <c r="I9">
        <v>0.77653918301074776</v>
      </c>
      <c r="J9">
        <v>9.2429782968020957E-3</v>
      </c>
      <c r="K9">
        <v>0.49336871727698894</v>
      </c>
      <c r="L9">
        <v>0.27217687244180189</v>
      </c>
      <c r="M9">
        <v>0.84264790569124026</v>
      </c>
      <c r="N9">
        <v>0.1845668880661766</v>
      </c>
    </row>
    <row r="10" spans="1:14" x14ac:dyDescent="0.3">
      <c r="A10" t="s">
        <v>16</v>
      </c>
      <c r="B10">
        <v>0.7605919513394741</v>
      </c>
      <c r="C10">
        <v>0.32956267971307285</v>
      </c>
      <c r="D10">
        <v>0.46487786594638458</v>
      </c>
      <c r="E10">
        <v>0.83602009819096967</v>
      </c>
      <c r="F10">
        <v>0.57509468359279425</v>
      </c>
      <c r="G10">
        <v>0.63632130145607124</v>
      </c>
      <c r="H10">
        <v>0.37567858952312172</v>
      </c>
      <c r="I10">
        <v>0.54330082502433252</v>
      </c>
      <c r="J10">
        <v>0.94214533186898097</v>
      </c>
      <c r="K10">
        <v>0.48596463836395087</v>
      </c>
      <c r="L10">
        <v>0.39825037960395104</v>
      </c>
      <c r="M10">
        <v>0.37606023863839289</v>
      </c>
      <c r="N10">
        <v>0.99063477101351305</v>
      </c>
    </row>
    <row r="11" spans="1:14" x14ac:dyDescent="0.3">
      <c r="A11" t="s">
        <v>17</v>
      </c>
      <c r="B11">
        <v>0.1511347744030288</v>
      </c>
      <c r="C11">
        <v>0.55430456565627539</v>
      </c>
      <c r="D11">
        <v>0.43730230924557911</v>
      </c>
      <c r="E11">
        <v>0.33492399320404709</v>
      </c>
      <c r="F11">
        <v>0.96951397246231796</v>
      </c>
      <c r="G11">
        <v>0.21657867726923563</v>
      </c>
      <c r="H11">
        <v>0.68195195194820746</v>
      </c>
      <c r="I11">
        <v>0.92636342896998669</v>
      </c>
      <c r="J11">
        <v>0.21971491039484337</v>
      </c>
      <c r="K11">
        <v>0.3386074240208391</v>
      </c>
      <c r="L11">
        <v>0.9656610356530444</v>
      </c>
      <c r="M11">
        <v>0.45178878142996426</v>
      </c>
      <c r="N11">
        <v>0.13106178032799931</v>
      </c>
    </row>
    <row r="12" spans="1:14" x14ac:dyDescent="0.3">
      <c r="A12" t="s">
        <v>18</v>
      </c>
      <c r="B12">
        <v>0.46142965031645333</v>
      </c>
      <c r="C12">
        <v>0.49641644152395203</v>
      </c>
      <c r="D12">
        <v>0.56646476245017496</v>
      </c>
      <c r="E12">
        <v>0.21203420214173785</v>
      </c>
      <c r="F12">
        <v>0.67245898038247287</v>
      </c>
      <c r="G12">
        <v>0.5541963571428753</v>
      </c>
      <c r="H12">
        <v>0.72869669164575301</v>
      </c>
      <c r="I12">
        <v>0.30548774911999799</v>
      </c>
      <c r="J12">
        <v>0.23901518425365564</v>
      </c>
      <c r="K12">
        <v>0.80306291421605658</v>
      </c>
      <c r="L12">
        <v>0.53260362142888007</v>
      </c>
      <c r="M12">
        <v>0.18280072726150365</v>
      </c>
      <c r="N12">
        <v>0.63581457458936796</v>
      </c>
    </row>
    <row r="13" spans="1:14" x14ac:dyDescent="0.3">
      <c r="A13" t="s">
        <v>20</v>
      </c>
      <c r="B13">
        <f t="shared" ref="B13:N13" si="2">SUM(B14:B17)</f>
        <v>2.4052693378743326</v>
      </c>
      <c r="C13">
        <f t="shared" si="2"/>
        <v>0.70206202283549479</v>
      </c>
      <c r="D13">
        <f t="shared" si="2"/>
        <v>1.7197512047654957</v>
      </c>
      <c r="E13">
        <f t="shared" si="2"/>
        <v>1.6436821782295707</v>
      </c>
      <c r="F13">
        <f t="shared" si="2"/>
        <v>2.259636853989837</v>
      </c>
      <c r="G13">
        <f t="shared" si="2"/>
        <v>1.5203122443674908</v>
      </c>
      <c r="H13">
        <f t="shared" si="2"/>
        <v>2.3905248777565209</v>
      </c>
      <c r="I13">
        <f t="shared" si="2"/>
        <v>2.307026620020169</v>
      </c>
      <c r="J13">
        <f t="shared" si="2"/>
        <v>1.9452890395578812</v>
      </c>
      <c r="K13">
        <f t="shared" si="2"/>
        <v>1.8793008622180445</v>
      </c>
      <c r="L13">
        <f t="shared" si="2"/>
        <v>1.429876849530944</v>
      </c>
      <c r="M13">
        <f t="shared" si="2"/>
        <v>0.92131759752586528</v>
      </c>
      <c r="N13">
        <f t="shared" si="2"/>
        <v>1.6826270196965747</v>
      </c>
    </row>
    <row r="14" spans="1:14" x14ac:dyDescent="0.3">
      <c r="A14" t="s">
        <v>15</v>
      </c>
      <c r="B14">
        <v>0.60361437342399415</v>
      </c>
      <c r="C14">
        <v>0.33029298425543818</v>
      </c>
      <c r="D14">
        <v>0.77290981810215564</v>
      </c>
      <c r="E14">
        <v>2.7227750083151925E-2</v>
      </c>
      <c r="F14">
        <v>0.88237816306115058</v>
      </c>
      <c r="G14">
        <v>0.61871201264322084</v>
      </c>
      <c r="H14">
        <v>0.73222051245366748</v>
      </c>
      <c r="I14">
        <v>7.9578717576559432E-2</v>
      </c>
      <c r="J14">
        <v>0.51261589745281955</v>
      </c>
      <c r="K14">
        <v>0.66376473200725528</v>
      </c>
      <c r="L14">
        <v>6.2740716360838111E-2</v>
      </c>
      <c r="M14">
        <v>0.35168498671491855</v>
      </c>
      <c r="N14">
        <v>0.62738889649247265</v>
      </c>
    </row>
    <row r="15" spans="1:14" x14ac:dyDescent="0.3">
      <c r="A15" t="s">
        <v>16</v>
      </c>
      <c r="B15">
        <v>0.51112999265005254</v>
      </c>
      <c r="C15">
        <v>7.3718449360938298E-2</v>
      </c>
      <c r="D15">
        <v>0.12465299025121057</v>
      </c>
      <c r="E15">
        <v>0.67584251674941831</v>
      </c>
      <c r="F15">
        <v>0.39753659795966145</v>
      </c>
      <c r="G15">
        <v>0.44068725108810858</v>
      </c>
      <c r="H15">
        <v>0.39345826699770281</v>
      </c>
      <c r="I15">
        <v>0.52809768563067805</v>
      </c>
      <c r="J15">
        <v>0.37656156054423962</v>
      </c>
      <c r="K15">
        <v>0.15257123116243876</v>
      </c>
      <c r="L15">
        <v>0.38406563747000066</v>
      </c>
      <c r="M15">
        <v>0.214930997169687</v>
      </c>
      <c r="N15">
        <v>0.67855889485300502</v>
      </c>
    </row>
    <row r="16" spans="1:14" x14ac:dyDescent="0.3">
      <c r="A16" t="s">
        <v>17</v>
      </c>
      <c r="B16">
        <v>0.85369102838201227</v>
      </c>
      <c r="C16">
        <v>2.5250219262160423E-2</v>
      </c>
      <c r="D16">
        <v>0.65581748771052151</v>
      </c>
      <c r="E16">
        <v>0.57792559322976833</v>
      </c>
      <c r="F16">
        <v>0.56213680571680003</v>
      </c>
      <c r="G16">
        <v>2.771099263117871E-2</v>
      </c>
      <c r="H16">
        <v>0.72669345381627515</v>
      </c>
      <c r="I16">
        <v>0.88783361225016966</v>
      </c>
      <c r="J16">
        <v>0.66477077012123575</v>
      </c>
      <c r="K16">
        <v>0.91013341561563232</v>
      </c>
      <c r="L16">
        <v>0.62031431412436688</v>
      </c>
      <c r="M16">
        <v>3.9523384424048125E-2</v>
      </c>
      <c r="N16">
        <v>2.0481643957968698E-2</v>
      </c>
    </row>
    <row r="17" spans="1:14" x14ac:dyDescent="0.3">
      <c r="A17" t="s">
        <v>18</v>
      </c>
      <c r="B17">
        <v>0.43683394341827375</v>
      </c>
      <c r="C17">
        <v>0.27280036995695789</v>
      </c>
      <c r="D17">
        <v>0.16637090870160787</v>
      </c>
      <c r="E17">
        <v>0.36268631816723229</v>
      </c>
      <c r="F17">
        <v>0.41758528725222488</v>
      </c>
      <c r="G17">
        <v>0.43320198800498255</v>
      </c>
      <c r="H17">
        <v>0.53815264448887523</v>
      </c>
      <c r="I17">
        <v>0.81151660456276198</v>
      </c>
      <c r="J17">
        <v>0.39134081143958632</v>
      </c>
      <c r="K17">
        <v>0.15283148343271802</v>
      </c>
      <c r="L17">
        <v>0.36275618157573819</v>
      </c>
      <c r="M17">
        <v>0.31517822921721161</v>
      </c>
      <c r="N17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C6A2-650C-442C-BB52-3144B870DCE8}">
  <dimension ref="A1:AC17"/>
  <sheetViews>
    <sheetView workbookViewId="0">
      <selection sqref="A1:N1"/>
    </sheetView>
  </sheetViews>
  <sheetFormatPr defaultRowHeight="14.4" x14ac:dyDescent="0.3"/>
  <cols>
    <col min="14" max="14" width="11.88671875" customWidth="1"/>
  </cols>
  <sheetData>
    <row r="1" spans="1:29" x14ac:dyDescent="0.3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t="s">
        <v>42</v>
      </c>
      <c r="P1" s="4" t="s">
        <v>44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</row>
    <row r="3" spans="1:29" x14ac:dyDescent="0.3">
      <c r="A3" s="1" t="s">
        <v>14</v>
      </c>
      <c r="B3" s="1">
        <f t="shared" ref="B3:N3" si="0">SUM(B4:B7)</f>
        <v>2.5744203185548846</v>
      </c>
      <c r="C3" s="1">
        <f t="shared" si="0"/>
        <v>3.2931817071268226</v>
      </c>
      <c r="D3" s="1">
        <f t="shared" si="0"/>
        <v>2.6682918208733661</v>
      </c>
      <c r="E3" s="1">
        <f t="shared" si="0"/>
        <v>1.2509715691653842</v>
      </c>
      <c r="F3" s="1">
        <f t="shared" si="0"/>
        <v>2.669181001828115</v>
      </c>
      <c r="G3" s="1">
        <f t="shared" si="0"/>
        <v>1.2259604219803308</v>
      </c>
      <c r="H3" s="1">
        <f t="shared" si="0"/>
        <v>1.644929115603611</v>
      </c>
      <c r="I3" s="1">
        <f t="shared" si="0"/>
        <v>2.0636538667955469</v>
      </c>
      <c r="J3" s="1">
        <f t="shared" si="0"/>
        <v>1.7648749637808394</v>
      </c>
      <c r="K3" s="1">
        <f t="shared" si="0"/>
        <v>2.5241122285613247</v>
      </c>
      <c r="L3" s="1">
        <f t="shared" si="0"/>
        <v>1.9696572215592987</v>
      </c>
      <c r="M3" s="1">
        <f t="shared" si="0"/>
        <v>3.0257655903073259</v>
      </c>
      <c r="N3" s="1">
        <f t="shared" si="0"/>
        <v>0.89959164539216896</v>
      </c>
      <c r="P3" s="1" t="s">
        <v>14</v>
      </c>
      <c r="Q3" s="1">
        <f t="shared" ref="Q3:AC3" si="1">SUM(Q4:Q7)</f>
        <v>2.5744203185548846</v>
      </c>
      <c r="R3" s="1">
        <f t="shared" si="1"/>
        <v>3.2931817071268226</v>
      </c>
      <c r="S3" s="1">
        <f t="shared" si="1"/>
        <v>2.6682918208733661</v>
      </c>
      <c r="T3" s="1">
        <f t="shared" si="1"/>
        <v>1.2509715691653842</v>
      </c>
      <c r="U3" s="1">
        <f t="shared" si="1"/>
        <v>2.669181001828115</v>
      </c>
      <c r="V3" s="1">
        <f t="shared" si="1"/>
        <v>1.2259604219803308</v>
      </c>
      <c r="W3" s="1">
        <f t="shared" si="1"/>
        <v>1.644929115603611</v>
      </c>
      <c r="X3" s="1">
        <f t="shared" si="1"/>
        <v>2.0636538667955469</v>
      </c>
      <c r="Y3" s="1">
        <f t="shared" si="1"/>
        <v>1.7648749637808394</v>
      </c>
      <c r="Z3" s="1">
        <f t="shared" si="1"/>
        <v>2.5241122285613247</v>
      </c>
      <c r="AA3" s="1">
        <f t="shared" si="1"/>
        <v>1.9696572215592987</v>
      </c>
      <c r="AB3" s="1">
        <f t="shared" si="1"/>
        <v>3.0257655903073259</v>
      </c>
      <c r="AC3" s="1">
        <f t="shared" si="1"/>
        <v>0.89959164539216896</v>
      </c>
    </row>
    <row r="4" spans="1:29" x14ac:dyDescent="0.3">
      <c r="A4" s="1" t="s">
        <v>15</v>
      </c>
      <c r="B4" s="1">
        <v>0.16107037958324377</v>
      </c>
      <c r="C4" s="1">
        <v>0.94707499098196057</v>
      </c>
      <c r="D4" s="1">
        <v>0.96411248311952158</v>
      </c>
      <c r="E4" s="1">
        <v>1.4756335604728776E-2</v>
      </c>
      <c r="F4" s="1">
        <v>0.38216517155213858</v>
      </c>
      <c r="G4" s="1">
        <v>6.785557181690216E-2</v>
      </c>
      <c r="H4" s="1">
        <v>0.58803630017373854</v>
      </c>
      <c r="I4" s="1">
        <v>0.35632239178637615</v>
      </c>
      <c r="J4" s="1">
        <v>0.9504930153823401</v>
      </c>
      <c r="K4" s="1">
        <v>0.72950872410855083</v>
      </c>
      <c r="L4" s="1">
        <v>0.94007246583539739</v>
      </c>
      <c r="M4" s="1">
        <v>0.66555067488707742</v>
      </c>
      <c r="N4" s="1">
        <v>0.11470512712178615</v>
      </c>
      <c r="P4" s="1" t="s">
        <v>15</v>
      </c>
      <c r="Q4" s="1">
        <v>0.16107037958324377</v>
      </c>
      <c r="R4" s="1">
        <v>0.94707499098196057</v>
      </c>
      <c r="S4" s="1">
        <v>0.96411248311952158</v>
      </c>
      <c r="T4" s="1">
        <v>1.4756335604728776E-2</v>
      </c>
      <c r="U4" s="1">
        <v>0.38216517155213858</v>
      </c>
      <c r="V4" s="1">
        <v>6.785557181690216E-2</v>
      </c>
      <c r="W4" s="1">
        <v>0.58803630017373854</v>
      </c>
      <c r="X4" s="1">
        <v>0.35632239178637615</v>
      </c>
      <c r="Y4" s="1">
        <v>0.9504930153823401</v>
      </c>
      <c r="Z4" s="1">
        <v>0.72950872410855083</v>
      </c>
      <c r="AA4" s="1">
        <v>0.94007246583539739</v>
      </c>
      <c r="AB4" s="1">
        <v>0.66555067488707742</v>
      </c>
      <c r="AC4" s="1">
        <v>0.11470512712178615</v>
      </c>
    </row>
    <row r="5" spans="1:29" x14ac:dyDescent="0.3">
      <c r="A5" s="1" t="s">
        <v>16</v>
      </c>
      <c r="B5" s="1">
        <v>0.92003764589268677</v>
      </c>
      <c r="C5" s="1">
        <v>0.96618909320822077</v>
      </c>
      <c r="D5" s="1">
        <v>0.70123974093521269</v>
      </c>
      <c r="E5" s="1">
        <v>0.10596260135190605</v>
      </c>
      <c r="F5" s="1">
        <v>0.77255607008719462</v>
      </c>
      <c r="G5" s="1">
        <v>0.52944201813439595</v>
      </c>
      <c r="H5" s="1">
        <v>0.28168584725702484</v>
      </c>
      <c r="I5" s="1">
        <v>7.7201633003109782E-2</v>
      </c>
      <c r="J5" s="1">
        <v>0.41404021576866945</v>
      </c>
      <c r="K5" s="1">
        <v>0.17823827083870047</v>
      </c>
      <c r="L5" s="1">
        <v>0.57546934211644252</v>
      </c>
      <c r="M5" s="1">
        <v>0.85667682062480033</v>
      </c>
      <c r="N5" s="1">
        <v>0.63198406355610592</v>
      </c>
      <c r="P5" s="1" t="s">
        <v>16</v>
      </c>
      <c r="Q5" s="1">
        <v>0.92003764589268677</v>
      </c>
      <c r="R5" s="1">
        <v>0.96618909320822077</v>
      </c>
      <c r="S5" s="1">
        <v>0.70123974093521269</v>
      </c>
      <c r="T5" s="1">
        <v>0.10596260135190605</v>
      </c>
      <c r="U5" s="1">
        <v>0.77255607008719462</v>
      </c>
      <c r="V5" s="1">
        <v>0.52944201813439595</v>
      </c>
      <c r="W5" s="1">
        <v>0.28168584725702484</v>
      </c>
      <c r="X5" s="1">
        <v>7.7201633003109782E-2</v>
      </c>
      <c r="Y5" s="1">
        <v>0.41404021576866945</v>
      </c>
      <c r="Z5" s="1">
        <v>0.17823827083870047</v>
      </c>
      <c r="AA5" s="1">
        <v>0.57546934211644252</v>
      </c>
      <c r="AB5" s="1">
        <v>0.85667682062480033</v>
      </c>
      <c r="AC5" s="1">
        <v>0.63198406355610592</v>
      </c>
    </row>
    <row r="6" spans="1:29" x14ac:dyDescent="0.3">
      <c r="A6" s="1" t="s">
        <v>17</v>
      </c>
      <c r="B6" s="1">
        <v>0.85438444779581724</v>
      </c>
      <c r="C6" s="1">
        <v>0.47822464507543949</v>
      </c>
      <c r="D6" s="1">
        <v>0.81626923136433094</v>
      </c>
      <c r="E6" s="1">
        <v>0.31469077540739909</v>
      </c>
      <c r="F6" s="1">
        <v>0.79827020049992081</v>
      </c>
      <c r="G6" s="1">
        <v>0.43371097435054273</v>
      </c>
      <c r="H6" s="1">
        <v>0.64578217268414451</v>
      </c>
      <c r="I6" s="1">
        <v>0.99323691794940816</v>
      </c>
      <c r="J6" s="1">
        <v>0.25598489685481418</v>
      </c>
      <c r="K6" s="1">
        <v>0.65825665903965214</v>
      </c>
      <c r="L6" s="1">
        <v>0.2845915735312442</v>
      </c>
      <c r="M6" s="1">
        <v>0.67089696558404066</v>
      </c>
      <c r="N6" s="1">
        <v>1.7505169674120413E-2</v>
      </c>
      <c r="P6" s="1" t="s">
        <v>17</v>
      </c>
      <c r="Q6" s="1">
        <v>0.85438444779581724</v>
      </c>
      <c r="R6" s="1">
        <v>0.47822464507543949</v>
      </c>
      <c r="S6" s="1">
        <v>0.81626923136433094</v>
      </c>
      <c r="T6" s="1">
        <v>0.31469077540739909</v>
      </c>
      <c r="U6" s="1">
        <v>0.79827020049992081</v>
      </c>
      <c r="V6" s="1">
        <v>0.43371097435054273</v>
      </c>
      <c r="W6" s="1">
        <v>0.64578217268414451</v>
      </c>
      <c r="X6" s="1">
        <v>0.99323691794940816</v>
      </c>
      <c r="Y6" s="1">
        <v>0.25598489685481418</v>
      </c>
      <c r="Z6" s="1">
        <v>0.65825665903965214</v>
      </c>
      <c r="AA6" s="1">
        <v>0.2845915735312442</v>
      </c>
      <c r="AB6" s="1">
        <v>0.67089696558404066</v>
      </c>
      <c r="AC6" s="1">
        <v>1.7505169674120413E-2</v>
      </c>
    </row>
    <row r="7" spans="1:29" x14ac:dyDescent="0.3">
      <c r="A7" s="1" t="s">
        <v>18</v>
      </c>
      <c r="B7" s="1">
        <v>0.63892784528313651</v>
      </c>
      <c r="C7" s="1">
        <v>0.90169297786120162</v>
      </c>
      <c r="D7" s="1">
        <v>0.18667036545430082</v>
      </c>
      <c r="E7" s="1">
        <v>0.81556185680135029</v>
      </c>
      <c r="F7" s="1">
        <v>0.716189559688861</v>
      </c>
      <c r="G7" s="1">
        <v>0.19495185767848999</v>
      </c>
      <c r="H7" s="1">
        <v>0.12942479548870323</v>
      </c>
      <c r="I7" s="1">
        <v>0.63689292405665276</v>
      </c>
      <c r="J7" s="1">
        <v>0.14435683577501568</v>
      </c>
      <c r="K7" s="1">
        <v>0.95810857457442111</v>
      </c>
      <c r="L7" s="1">
        <v>0.16952384007621457</v>
      </c>
      <c r="M7" s="1">
        <v>0.83264112921140765</v>
      </c>
      <c r="N7" s="1">
        <v>0.13539728504015647</v>
      </c>
      <c r="P7" s="1" t="s">
        <v>18</v>
      </c>
      <c r="Q7" s="1">
        <v>0.63892784528313651</v>
      </c>
      <c r="R7" s="1">
        <v>0.90169297786120162</v>
      </c>
      <c r="S7" s="1">
        <v>0.18667036545430082</v>
      </c>
      <c r="T7" s="1">
        <v>0.81556185680135029</v>
      </c>
      <c r="U7" s="1">
        <v>0.716189559688861</v>
      </c>
      <c r="V7" s="1">
        <v>0.19495185767848999</v>
      </c>
      <c r="W7" s="1">
        <v>0.12942479548870323</v>
      </c>
      <c r="X7" s="1">
        <v>0.63689292405665276</v>
      </c>
      <c r="Y7" s="1">
        <v>0.14435683577501568</v>
      </c>
      <c r="Z7" s="1">
        <v>0.95810857457442111</v>
      </c>
      <c r="AA7" s="1">
        <v>0.16952384007621457</v>
      </c>
      <c r="AB7" s="1">
        <v>0.83264112921140765</v>
      </c>
      <c r="AC7" s="1">
        <v>0.13539728504015647</v>
      </c>
    </row>
    <row r="8" spans="1:29" x14ac:dyDescent="0.3">
      <c r="A8" s="1" t="s">
        <v>19</v>
      </c>
      <c r="B8" s="1">
        <f t="shared" ref="B8:N8" si="2">SUM(B9:B12)</f>
        <v>2.2082902077081359</v>
      </c>
      <c r="C8" s="1">
        <f t="shared" si="2"/>
        <v>1.605218686440117</v>
      </c>
      <c r="D8" s="1">
        <f t="shared" si="2"/>
        <v>2.1051799746321742</v>
      </c>
      <c r="E8" s="1">
        <f t="shared" si="2"/>
        <v>2.1367641918112552</v>
      </c>
      <c r="F8" s="1">
        <f t="shared" si="2"/>
        <v>2.2801876216617027</v>
      </c>
      <c r="G8" s="1">
        <f t="shared" si="2"/>
        <v>1.9136483978749665</v>
      </c>
      <c r="H8" s="1">
        <f t="shared" si="2"/>
        <v>2.1948800772141852</v>
      </c>
      <c r="I8" s="1">
        <f t="shared" si="2"/>
        <v>2.5516911861250651</v>
      </c>
      <c r="J8" s="1">
        <f t="shared" si="2"/>
        <v>1.4101184048142821</v>
      </c>
      <c r="K8" s="1">
        <f t="shared" si="2"/>
        <v>2.1210036938778352</v>
      </c>
      <c r="L8" s="1">
        <f t="shared" si="2"/>
        <v>2.1686919091276771</v>
      </c>
      <c r="M8" s="1">
        <f t="shared" si="2"/>
        <v>1.8532976530211012</v>
      </c>
      <c r="N8" s="1">
        <f t="shared" si="2"/>
        <v>1.9420780139970568</v>
      </c>
      <c r="P8" s="1" t="s">
        <v>19</v>
      </c>
      <c r="Q8" s="1">
        <f t="shared" ref="Q8:AC8" si="3">SUM(Q9:Q12)</f>
        <v>2.2082902077081359</v>
      </c>
      <c r="R8" s="1">
        <f t="shared" si="3"/>
        <v>1.605218686440117</v>
      </c>
      <c r="S8" s="1">
        <f t="shared" si="3"/>
        <v>2.1051799746321742</v>
      </c>
      <c r="T8" s="1">
        <f t="shared" si="3"/>
        <v>2.1367641918112552</v>
      </c>
      <c r="U8" s="1">
        <f t="shared" si="3"/>
        <v>2.2801876216617027</v>
      </c>
      <c r="V8" s="1">
        <f t="shared" si="3"/>
        <v>1.9136483978749665</v>
      </c>
      <c r="W8" s="1">
        <f t="shared" si="3"/>
        <v>2.1948800772141852</v>
      </c>
      <c r="X8" s="1">
        <f t="shared" si="3"/>
        <v>2.5516911861250651</v>
      </c>
      <c r="Y8" s="1">
        <f t="shared" si="3"/>
        <v>1.4101184048142821</v>
      </c>
      <c r="Z8" s="1">
        <f t="shared" si="3"/>
        <v>2.1210036938778352</v>
      </c>
      <c r="AA8" s="1">
        <f t="shared" si="3"/>
        <v>2.1686919091276771</v>
      </c>
      <c r="AB8" s="1">
        <f t="shared" si="3"/>
        <v>1.8532976530211012</v>
      </c>
      <c r="AC8" s="1">
        <f t="shared" si="3"/>
        <v>1.9420780139970568</v>
      </c>
    </row>
    <row r="9" spans="1:29" x14ac:dyDescent="0.3">
      <c r="A9" s="1" t="s">
        <v>15</v>
      </c>
      <c r="B9" s="1">
        <v>0.83513383164917976</v>
      </c>
      <c r="C9" s="1">
        <v>0.22493499954681684</v>
      </c>
      <c r="D9" s="1">
        <v>0.63653503699003566</v>
      </c>
      <c r="E9" s="1">
        <v>0.75378589827450049</v>
      </c>
      <c r="F9" s="1">
        <v>6.3119985224117658E-2</v>
      </c>
      <c r="G9" s="1">
        <v>0.50655206200678438</v>
      </c>
      <c r="H9" s="1">
        <v>0.40855284409710291</v>
      </c>
      <c r="I9" s="1">
        <v>0.77653918301074776</v>
      </c>
      <c r="J9" s="1">
        <v>9.2429782968020957E-3</v>
      </c>
      <c r="K9" s="1">
        <v>0.49336871727698894</v>
      </c>
      <c r="L9" s="1">
        <v>0.27217687244180189</v>
      </c>
      <c r="M9" s="1">
        <v>0.84264790569124026</v>
      </c>
      <c r="N9" s="1">
        <v>0.1845668880661766</v>
      </c>
      <c r="P9" s="1" t="s">
        <v>15</v>
      </c>
      <c r="Q9" s="1">
        <v>0.83513383164917976</v>
      </c>
      <c r="R9" s="1">
        <v>0.22493499954681684</v>
      </c>
      <c r="S9" s="1">
        <v>0.63653503699003566</v>
      </c>
      <c r="T9" s="1">
        <v>0.75378589827450049</v>
      </c>
      <c r="U9" s="1">
        <v>6.3119985224117658E-2</v>
      </c>
      <c r="V9" s="1">
        <v>0.50655206200678438</v>
      </c>
      <c r="W9" s="1">
        <v>0.40855284409710291</v>
      </c>
      <c r="X9" s="1">
        <v>0.77653918301074776</v>
      </c>
      <c r="Y9" s="1">
        <v>9.2429782968020957E-3</v>
      </c>
      <c r="Z9" s="1">
        <v>0.49336871727698894</v>
      </c>
      <c r="AA9" s="1">
        <v>0.27217687244180189</v>
      </c>
      <c r="AB9" s="1">
        <v>0.84264790569124026</v>
      </c>
      <c r="AC9" s="1">
        <v>0.1845668880661766</v>
      </c>
    </row>
    <row r="10" spans="1:29" x14ac:dyDescent="0.3">
      <c r="A10" s="1" t="s">
        <v>16</v>
      </c>
      <c r="B10" s="1">
        <v>0.7605919513394741</v>
      </c>
      <c r="C10" s="1">
        <v>0.32956267971307285</v>
      </c>
      <c r="D10" s="1">
        <v>0.46487786594638458</v>
      </c>
      <c r="E10" s="1">
        <v>0.83602009819096967</v>
      </c>
      <c r="F10" s="1">
        <v>0.57509468359279425</v>
      </c>
      <c r="G10" s="1">
        <v>0.63632130145607124</v>
      </c>
      <c r="H10" s="1">
        <v>0.37567858952312172</v>
      </c>
      <c r="I10" s="1">
        <v>0.54330082502433252</v>
      </c>
      <c r="J10" s="1">
        <v>0.94214533186898097</v>
      </c>
      <c r="K10" s="1">
        <v>0.48596463836395087</v>
      </c>
      <c r="L10" s="1">
        <v>0.39825037960395104</v>
      </c>
      <c r="M10" s="1">
        <v>0.37606023863839289</v>
      </c>
      <c r="N10" s="1">
        <v>0.99063477101351305</v>
      </c>
      <c r="P10" s="1" t="s">
        <v>16</v>
      </c>
      <c r="Q10" s="1">
        <v>0.7605919513394741</v>
      </c>
      <c r="R10" s="1">
        <v>0.32956267971307285</v>
      </c>
      <c r="S10" s="1">
        <v>0.46487786594638458</v>
      </c>
      <c r="T10" s="1">
        <v>0.83602009819096967</v>
      </c>
      <c r="U10" s="1">
        <v>0.57509468359279425</v>
      </c>
      <c r="V10" s="1">
        <v>0.63632130145607124</v>
      </c>
      <c r="W10" s="1">
        <v>0.37567858952312172</v>
      </c>
      <c r="X10" s="1">
        <v>0.54330082502433252</v>
      </c>
      <c r="Y10" s="1">
        <v>0.94214533186898097</v>
      </c>
      <c r="Z10" s="1">
        <v>0.48596463836395087</v>
      </c>
      <c r="AA10" s="1">
        <v>0.39825037960395104</v>
      </c>
      <c r="AB10" s="1">
        <v>0.37606023863839289</v>
      </c>
      <c r="AC10" s="1">
        <v>0.99063477101351305</v>
      </c>
    </row>
    <row r="11" spans="1:29" x14ac:dyDescent="0.3">
      <c r="A11" s="1" t="s">
        <v>17</v>
      </c>
      <c r="B11" s="1">
        <v>0.1511347744030288</v>
      </c>
      <c r="C11" s="1">
        <v>0.55430456565627539</v>
      </c>
      <c r="D11" s="1">
        <v>0.43730230924557911</v>
      </c>
      <c r="E11" s="1">
        <v>0.33492399320404709</v>
      </c>
      <c r="F11" s="1">
        <v>0.96951397246231796</v>
      </c>
      <c r="G11" s="1">
        <v>0.21657867726923563</v>
      </c>
      <c r="H11" s="1">
        <v>0.68195195194820746</v>
      </c>
      <c r="I11" s="1">
        <v>0.92636342896998669</v>
      </c>
      <c r="J11" s="1">
        <v>0.21971491039484337</v>
      </c>
      <c r="K11" s="1">
        <v>0.3386074240208391</v>
      </c>
      <c r="L11" s="1">
        <v>0.9656610356530444</v>
      </c>
      <c r="M11" s="1">
        <v>0.45178878142996426</v>
      </c>
      <c r="N11" s="1">
        <v>0.13106178032799931</v>
      </c>
      <c r="P11" s="1" t="s">
        <v>17</v>
      </c>
      <c r="Q11" s="1">
        <v>0.1511347744030288</v>
      </c>
      <c r="R11" s="1">
        <v>0.55430456565627539</v>
      </c>
      <c r="S11" s="1">
        <v>0.43730230924557911</v>
      </c>
      <c r="T11" s="1">
        <v>0.33492399320404709</v>
      </c>
      <c r="U11" s="1">
        <v>0.96951397246231796</v>
      </c>
      <c r="V11" s="1">
        <v>0.21657867726923563</v>
      </c>
      <c r="W11" s="1">
        <v>0.68195195194820746</v>
      </c>
      <c r="X11" s="1">
        <v>0.92636342896998669</v>
      </c>
      <c r="Y11" s="1">
        <v>0.21971491039484337</v>
      </c>
      <c r="Z11" s="1">
        <v>0.3386074240208391</v>
      </c>
      <c r="AA11" s="1">
        <v>0.9656610356530444</v>
      </c>
      <c r="AB11" s="1">
        <v>0.45178878142996426</v>
      </c>
      <c r="AC11" s="1">
        <v>0.13106178032799931</v>
      </c>
    </row>
    <row r="12" spans="1:29" x14ac:dyDescent="0.3">
      <c r="A12" s="1" t="s">
        <v>18</v>
      </c>
      <c r="B12" s="1">
        <v>0.46142965031645333</v>
      </c>
      <c r="C12" s="1">
        <v>0.49641644152395203</v>
      </c>
      <c r="D12" s="1">
        <v>0.56646476245017496</v>
      </c>
      <c r="E12" s="1">
        <v>0.21203420214173785</v>
      </c>
      <c r="F12" s="1">
        <v>0.67245898038247287</v>
      </c>
      <c r="G12" s="1">
        <v>0.5541963571428753</v>
      </c>
      <c r="H12" s="1">
        <v>0.72869669164575301</v>
      </c>
      <c r="I12" s="1">
        <v>0.30548774911999799</v>
      </c>
      <c r="J12" s="1">
        <v>0.23901518425365564</v>
      </c>
      <c r="K12" s="1">
        <v>0.80306291421605658</v>
      </c>
      <c r="L12" s="1">
        <v>0.53260362142888007</v>
      </c>
      <c r="M12" s="1">
        <v>0.18280072726150365</v>
      </c>
      <c r="N12" s="1">
        <v>0.63581457458936796</v>
      </c>
      <c r="P12" s="1" t="s">
        <v>18</v>
      </c>
      <c r="Q12" s="1">
        <v>0.46142965031645333</v>
      </c>
      <c r="R12" s="1">
        <v>0.49641644152395203</v>
      </c>
      <c r="S12" s="1">
        <v>0.56646476245017496</v>
      </c>
      <c r="T12" s="1">
        <v>0.21203420214173785</v>
      </c>
      <c r="U12" s="1">
        <v>0.67245898038247287</v>
      </c>
      <c r="V12" s="1">
        <v>0.5541963571428753</v>
      </c>
      <c r="W12" s="1">
        <v>0.72869669164575301</v>
      </c>
      <c r="X12" s="1">
        <v>0.30548774911999799</v>
      </c>
      <c r="Y12" s="1">
        <v>0.23901518425365564</v>
      </c>
      <c r="Z12" s="1">
        <v>0.80306291421605658</v>
      </c>
      <c r="AA12" s="1">
        <v>0.53260362142888007</v>
      </c>
      <c r="AB12" s="1">
        <v>0.18280072726150365</v>
      </c>
      <c r="AC12" s="1">
        <v>0.63581457458936796</v>
      </c>
    </row>
    <row r="13" spans="1:29" x14ac:dyDescent="0.3">
      <c r="A13" s="1" t="s">
        <v>20</v>
      </c>
      <c r="B13" s="1">
        <f t="shared" ref="B13:N13" si="4">SUM(B14:B17)</f>
        <v>2.4052693378743326</v>
      </c>
      <c r="C13" s="1">
        <f t="shared" si="4"/>
        <v>0.70206202283549479</v>
      </c>
      <c r="D13" s="1">
        <f t="shared" si="4"/>
        <v>1.7197512047654957</v>
      </c>
      <c r="E13" s="1">
        <f t="shared" si="4"/>
        <v>1.6436821782295707</v>
      </c>
      <c r="F13" s="1">
        <f t="shared" si="4"/>
        <v>2.259636853989837</v>
      </c>
      <c r="G13" s="1">
        <f t="shared" si="4"/>
        <v>1.5203122443674908</v>
      </c>
      <c r="H13" s="1">
        <f t="shared" si="4"/>
        <v>2.3905248777565209</v>
      </c>
      <c r="I13" s="1">
        <f t="shared" si="4"/>
        <v>2.307026620020169</v>
      </c>
      <c r="J13" s="1">
        <f t="shared" si="4"/>
        <v>1.9452890395578812</v>
      </c>
      <c r="K13" s="1">
        <f t="shared" si="4"/>
        <v>1.8793008622180445</v>
      </c>
      <c r="L13" s="1">
        <f t="shared" si="4"/>
        <v>1.429876849530944</v>
      </c>
      <c r="M13" s="1">
        <f t="shared" si="4"/>
        <v>0.92131759752586528</v>
      </c>
      <c r="N13" s="1">
        <f t="shared" si="4"/>
        <v>1.6826270196965747</v>
      </c>
      <c r="P13" s="1" t="s">
        <v>20</v>
      </c>
      <c r="Q13" s="1">
        <f t="shared" ref="Q13:AC13" si="5">SUM(Q14:Q17)</f>
        <v>2.4052693378743326</v>
      </c>
      <c r="R13" s="1">
        <f t="shared" si="5"/>
        <v>0.70206202283549479</v>
      </c>
      <c r="S13" s="1">
        <f t="shared" si="5"/>
        <v>1.7197512047654957</v>
      </c>
      <c r="T13" s="1">
        <f t="shared" si="5"/>
        <v>1.6436821782295707</v>
      </c>
      <c r="U13" s="1">
        <f t="shared" si="5"/>
        <v>2.259636853989837</v>
      </c>
      <c r="V13" s="1">
        <f t="shared" si="5"/>
        <v>1.5203122443674908</v>
      </c>
      <c r="W13" s="1">
        <f t="shared" si="5"/>
        <v>2.3905248777565209</v>
      </c>
      <c r="X13" s="1">
        <f t="shared" si="5"/>
        <v>2.307026620020169</v>
      </c>
      <c r="Y13" s="1">
        <f t="shared" si="5"/>
        <v>1.9452890395578812</v>
      </c>
      <c r="Z13" s="1">
        <f t="shared" si="5"/>
        <v>1.8793008622180445</v>
      </c>
      <c r="AA13" s="1">
        <f t="shared" si="5"/>
        <v>1.429876849530944</v>
      </c>
      <c r="AB13" s="1">
        <f t="shared" si="5"/>
        <v>0.92131759752586528</v>
      </c>
      <c r="AC13" s="1">
        <f t="shared" si="5"/>
        <v>1.6826270196965747</v>
      </c>
    </row>
    <row r="14" spans="1:29" x14ac:dyDescent="0.3">
      <c r="A14" s="1" t="s">
        <v>15</v>
      </c>
      <c r="B14" s="1">
        <v>0.60361437342399415</v>
      </c>
      <c r="C14" s="1">
        <v>0.33029298425543818</v>
      </c>
      <c r="D14" s="1">
        <v>0.77290981810215564</v>
      </c>
      <c r="E14" s="1">
        <v>2.7227750083151925E-2</v>
      </c>
      <c r="F14" s="1">
        <v>0.88237816306115058</v>
      </c>
      <c r="G14" s="1">
        <v>0.61871201264322084</v>
      </c>
      <c r="H14" s="1">
        <v>0.73222051245366748</v>
      </c>
      <c r="I14" s="1">
        <v>7.9578717576559432E-2</v>
      </c>
      <c r="J14" s="1">
        <v>0.51261589745281955</v>
      </c>
      <c r="K14" s="1">
        <v>0.66376473200725528</v>
      </c>
      <c r="L14" s="1">
        <v>6.2740716360838111E-2</v>
      </c>
      <c r="M14" s="1">
        <v>0.35168498671491855</v>
      </c>
      <c r="N14" s="1">
        <v>0.62738889649247265</v>
      </c>
      <c r="P14" s="1" t="s">
        <v>15</v>
      </c>
      <c r="Q14" s="1">
        <v>0.60361437342399415</v>
      </c>
      <c r="R14" s="1">
        <v>0.33029298425543818</v>
      </c>
      <c r="S14" s="1">
        <v>0.77290981810215564</v>
      </c>
      <c r="T14" s="1">
        <v>2.7227750083151925E-2</v>
      </c>
      <c r="U14" s="1">
        <v>0.88237816306115058</v>
      </c>
      <c r="V14" s="1">
        <v>0.61871201264322084</v>
      </c>
      <c r="W14" s="1">
        <v>0.73222051245366748</v>
      </c>
      <c r="X14" s="1">
        <v>7.9578717576559432E-2</v>
      </c>
      <c r="Y14" s="1">
        <v>0.51261589745281955</v>
      </c>
      <c r="Z14" s="1">
        <v>0.66376473200725528</v>
      </c>
      <c r="AA14" s="1">
        <v>6.2740716360838111E-2</v>
      </c>
      <c r="AB14" s="1">
        <v>0.35168498671491855</v>
      </c>
      <c r="AC14" s="1">
        <v>0.62738889649247265</v>
      </c>
    </row>
    <row r="15" spans="1:29" x14ac:dyDescent="0.3">
      <c r="A15" s="1" t="s">
        <v>16</v>
      </c>
      <c r="B15" s="1">
        <v>0.51112999265005254</v>
      </c>
      <c r="C15" s="1">
        <v>7.3718449360938298E-2</v>
      </c>
      <c r="D15" s="1">
        <v>0.12465299025121057</v>
      </c>
      <c r="E15" s="1">
        <v>0.67584251674941831</v>
      </c>
      <c r="F15" s="1">
        <v>0.39753659795966145</v>
      </c>
      <c r="G15" s="1">
        <v>0.44068725108810858</v>
      </c>
      <c r="H15" s="1">
        <v>0.39345826699770281</v>
      </c>
      <c r="I15" s="1">
        <v>0.52809768563067805</v>
      </c>
      <c r="J15" s="1">
        <v>0.37656156054423962</v>
      </c>
      <c r="K15" s="1">
        <v>0.15257123116243876</v>
      </c>
      <c r="L15" s="1">
        <v>0.38406563747000066</v>
      </c>
      <c r="M15" s="1">
        <v>0.214930997169687</v>
      </c>
      <c r="N15" s="1">
        <v>0.67855889485300502</v>
      </c>
      <c r="P15" s="1" t="s">
        <v>16</v>
      </c>
      <c r="Q15" s="1">
        <v>0.51112999265005254</v>
      </c>
      <c r="R15" s="1">
        <v>7.3718449360938298E-2</v>
      </c>
      <c r="S15" s="1">
        <v>0.12465299025121057</v>
      </c>
      <c r="T15" s="1">
        <v>0.67584251674941831</v>
      </c>
      <c r="U15" s="1">
        <v>0.39753659795966145</v>
      </c>
      <c r="V15" s="1">
        <v>0.44068725108810858</v>
      </c>
      <c r="W15" s="1">
        <v>0.39345826699770281</v>
      </c>
      <c r="X15" s="1">
        <v>0.52809768563067805</v>
      </c>
      <c r="Y15" s="1">
        <v>0.37656156054423962</v>
      </c>
      <c r="Z15" s="1">
        <v>0.15257123116243876</v>
      </c>
      <c r="AA15" s="1">
        <v>0.38406563747000066</v>
      </c>
      <c r="AB15" s="1">
        <v>0.214930997169687</v>
      </c>
      <c r="AC15" s="1">
        <v>0.67855889485300502</v>
      </c>
    </row>
    <row r="16" spans="1:29" x14ac:dyDescent="0.3">
      <c r="A16" s="1" t="s">
        <v>17</v>
      </c>
      <c r="B16" s="1">
        <v>0.85369102838201227</v>
      </c>
      <c r="C16" s="1">
        <v>2.5250219262160423E-2</v>
      </c>
      <c r="D16" s="1">
        <v>0.65581748771052151</v>
      </c>
      <c r="E16" s="1">
        <v>0.57792559322976833</v>
      </c>
      <c r="F16" s="1">
        <v>0.56213680571680003</v>
      </c>
      <c r="G16" s="1">
        <v>2.771099263117871E-2</v>
      </c>
      <c r="H16" s="1">
        <v>0.72669345381627515</v>
      </c>
      <c r="I16" s="1">
        <v>0.88783361225016966</v>
      </c>
      <c r="J16" s="1">
        <v>0.66477077012123575</v>
      </c>
      <c r="K16" s="1">
        <v>0.91013341561563232</v>
      </c>
      <c r="L16" s="1">
        <v>0.62031431412436688</v>
      </c>
      <c r="M16" s="1">
        <v>3.9523384424048125E-2</v>
      </c>
      <c r="N16" s="1">
        <v>2.0481643957968698E-2</v>
      </c>
      <c r="P16" s="1" t="s">
        <v>17</v>
      </c>
      <c r="Q16" s="1">
        <v>0.85369102838201227</v>
      </c>
      <c r="R16" s="1">
        <v>2.5250219262160423E-2</v>
      </c>
      <c r="S16" s="1">
        <v>0.65581748771052151</v>
      </c>
      <c r="T16" s="1">
        <v>0.57792559322976833</v>
      </c>
      <c r="U16" s="1">
        <v>0.56213680571680003</v>
      </c>
      <c r="V16" s="1">
        <v>2.771099263117871E-2</v>
      </c>
      <c r="W16" s="1">
        <v>0.72669345381627515</v>
      </c>
      <c r="X16" s="1">
        <v>0.88783361225016966</v>
      </c>
      <c r="Y16" s="1">
        <v>0.66477077012123575</v>
      </c>
      <c r="Z16" s="1">
        <v>0.91013341561563232</v>
      </c>
      <c r="AA16" s="1">
        <v>0.62031431412436688</v>
      </c>
      <c r="AB16" s="1">
        <v>3.9523384424048125E-2</v>
      </c>
      <c r="AC16" s="1">
        <v>2.0481643957968698E-2</v>
      </c>
    </row>
    <row r="17" spans="1:29" x14ac:dyDescent="0.3">
      <c r="A17" s="1" t="s">
        <v>18</v>
      </c>
      <c r="B17" s="1">
        <v>0.43683394341827375</v>
      </c>
      <c r="C17" s="1">
        <v>0.27280036995695789</v>
      </c>
      <c r="D17" s="1">
        <v>0.16637090870160787</v>
      </c>
      <c r="E17" s="1">
        <v>0.36268631816723229</v>
      </c>
      <c r="F17" s="1">
        <v>0.41758528725222488</v>
      </c>
      <c r="G17" s="1">
        <v>0.43320198800498255</v>
      </c>
      <c r="H17" s="1">
        <v>0.53815264448887523</v>
      </c>
      <c r="I17" s="1">
        <v>0.81151660456276198</v>
      </c>
      <c r="J17" s="1">
        <v>0.39134081143958632</v>
      </c>
      <c r="K17" s="1">
        <v>0.15283148343271802</v>
      </c>
      <c r="L17" s="1">
        <v>0.36275618157573819</v>
      </c>
      <c r="M17" s="1">
        <v>0.31517822921721161</v>
      </c>
      <c r="N17" s="1">
        <v>0.35619758439312821</v>
      </c>
      <c r="P17" s="1" t="s">
        <v>18</v>
      </c>
      <c r="Q17" s="1">
        <v>0.43683394341827375</v>
      </c>
      <c r="R17" s="1">
        <v>0.27280036995695789</v>
      </c>
      <c r="S17" s="1">
        <v>0.16637090870160787</v>
      </c>
      <c r="T17" s="1">
        <v>0.36268631816723229</v>
      </c>
      <c r="U17" s="1">
        <v>0.41758528725222488</v>
      </c>
      <c r="V17" s="1">
        <v>0.43320198800498255</v>
      </c>
      <c r="W17" s="1">
        <v>0.53815264448887523</v>
      </c>
      <c r="X17" s="1">
        <v>0.81151660456276198</v>
      </c>
      <c r="Y17" s="1">
        <v>0.39134081143958632</v>
      </c>
      <c r="Z17" s="1">
        <v>0.15283148343271802</v>
      </c>
      <c r="AA17" s="1">
        <v>0.36275618157573819</v>
      </c>
      <c r="AB17" s="1">
        <v>0.31517822921721161</v>
      </c>
      <c r="AC17" s="1">
        <v>0.35619758439312821</v>
      </c>
    </row>
  </sheetData>
  <mergeCells count="2">
    <mergeCell ref="A1:N1"/>
    <mergeCell ref="P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9ABB-A2B3-4146-BA9D-5FFA5010B624}">
  <dimension ref="A1:N20"/>
  <sheetViews>
    <sheetView workbookViewId="0">
      <selection activeCell="O1" sqref="O1"/>
    </sheetView>
  </sheetViews>
  <sheetFormatPr defaultRowHeight="14.4" x14ac:dyDescent="0.3"/>
  <cols>
    <col min="14" max="14" width="10.77734375" customWidth="1"/>
  </cols>
  <sheetData>
    <row r="1" spans="1:14" x14ac:dyDescent="0.3">
      <c r="A1" s="4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2" t="s">
        <v>29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3">
      <c r="A3" s="1" t="s">
        <v>14</v>
      </c>
      <c r="B3" s="1">
        <v>45.660915412761007</v>
      </c>
      <c r="C3" s="1">
        <v>70.085806309657286</v>
      </c>
      <c r="D3" s="1">
        <v>42.065962880684587</v>
      </c>
      <c r="E3" s="1">
        <v>58.043724813885774</v>
      </c>
      <c r="F3" s="1">
        <v>62.71627315937755</v>
      </c>
      <c r="G3" s="1">
        <v>21.929746919059227</v>
      </c>
      <c r="H3" s="1">
        <v>65.415690104001186</v>
      </c>
      <c r="I3" s="1">
        <v>20.722572045739021</v>
      </c>
      <c r="J3" s="1">
        <v>10.165768054772439</v>
      </c>
      <c r="K3" s="1">
        <v>73.489136547989986</v>
      </c>
      <c r="L3" s="1">
        <v>38.281936065317687</v>
      </c>
      <c r="M3" s="1">
        <v>36.406473401462108</v>
      </c>
      <c r="N3" s="1">
        <v>58.254489846803331</v>
      </c>
    </row>
    <row r="4" spans="1:14" x14ac:dyDescent="0.3">
      <c r="A4" s="1" t="s">
        <v>30</v>
      </c>
      <c r="B4" s="1">
        <v>77.18258153260355</v>
      </c>
      <c r="C4" s="1">
        <v>17.645474211464354</v>
      </c>
      <c r="D4" s="1">
        <v>3.1062912000072744</v>
      </c>
      <c r="E4" s="1">
        <v>62.198794214200333</v>
      </c>
      <c r="F4" s="1">
        <v>38.34409937021946</v>
      </c>
      <c r="G4" s="1">
        <v>17.37665580795187</v>
      </c>
      <c r="H4" s="1">
        <v>69.662076381772934</v>
      </c>
      <c r="I4" s="1">
        <v>54.165900457961001</v>
      </c>
      <c r="J4" s="1">
        <v>64.415190360627719</v>
      </c>
      <c r="K4" s="1">
        <v>51.512500641527566</v>
      </c>
      <c r="L4" s="1">
        <v>65.326261383324351</v>
      </c>
      <c r="M4" s="1">
        <v>77.174658138200783</v>
      </c>
      <c r="N4" s="1">
        <v>35.751442100760855</v>
      </c>
    </row>
    <row r="5" spans="1:14" x14ac:dyDescent="0.3">
      <c r="A5" s="1" t="s">
        <v>31</v>
      </c>
      <c r="B5" s="1">
        <v>1.3171410839854474</v>
      </c>
      <c r="C5" s="1">
        <v>57.011256239017172</v>
      </c>
      <c r="D5" s="1">
        <v>18.002648386437002</v>
      </c>
      <c r="E5" s="1">
        <v>47.231315325699669</v>
      </c>
      <c r="F5" s="1">
        <v>32.622088005402723</v>
      </c>
      <c r="G5" s="1">
        <v>73.859249380169729</v>
      </c>
      <c r="H5" s="1">
        <v>13.674453997506417</v>
      </c>
      <c r="I5" s="1">
        <v>38.309561656981373</v>
      </c>
      <c r="J5" s="1">
        <v>20.064991354463707</v>
      </c>
      <c r="K5" s="1">
        <v>61.222037784349141</v>
      </c>
      <c r="L5" s="1">
        <v>32.864965183611382</v>
      </c>
      <c r="M5" s="1">
        <v>26.770083191400612</v>
      </c>
      <c r="N5" s="1">
        <v>71.652020889125993</v>
      </c>
    </row>
    <row r="6" spans="1:14" x14ac:dyDescent="0.3">
      <c r="A6" s="1" t="s">
        <v>19</v>
      </c>
      <c r="B6" s="1">
        <v>65.427312655800449</v>
      </c>
      <c r="C6" s="1">
        <v>19.531948712558279</v>
      </c>
      <c r="D6" s="1">
        <v>10.733123020165758</v>
      </c>
      <c r="E6" s="1">
        <v>16.508498563854957</v>
      </c>
      <c r="F6" s="1">
        <v>8.2113455834795879</v>
      </c>
      <c r="G6" s="1">
        <v>22.815955306823962</v>
      </c>
      <c r="H6" s="1">
        <v>41.906926995438916</v>
      </c>
      <c r="I6" s="1">
        <v>25.322879740861797</v>
      </c>
      <c r="J6" s="1">
        <v>72.012542410532191</v>
      </c>
      <c r="K6" s="1">
        <v>21.27934964497388</v>
      </c>
      <c r="L6" s="1">
        <v>14.557297129278343</v>
      </c>
      <c r="M6" s="1">
        <v>11.201005364622016</v>
      </c>
      <c r="N6" s="1">
        <v>78.19138561776947</v>
      </c>
    </row>
    <row r="8" spans="1:14" x14ac:dyDescent="0.3">
      <c r="A8" s="4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">
      <c r="A9" s="2" t="s">
        <v>29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</row>
    <row r="10" spans="1:14" x14ac:dyDescent="0.3">
      <c r="A10" s="1" t="s">
        <v>14</v>
      </c>
      <c r="B10" s="1">
        <v>45.660915412761007</v>
      </c>
      <c r="C10" s="1">
        <v>70.085806309657286</v>
      </c>
      <c r="D10" s="1">
        <v>42.065962880684587</v>
      </c>
      <c r="E10" s="1">
        <v>58.043724813885774</v>
      </c>
      <c r="F10" s="1">
        <v>62.71627315937755</v>
      </c>
      <c r="G10" s="1">
        <v>21.929746919059227</v>
      </c>
      <c r="H10" s="1">
        <v>65.415690104001186</v>
      </c>
      <c r="I10" s="1">
        <v>20.722572045739021</v>
      </c>
      <c r="J10" s="1">
        <v>10.165768054772439</v>
      </c>
      <c r="K10" s="1">
        <v>73.489136547989986</v>
      </c>
      <c r="L10" s="1">
        <v>38.281936065317687</v>
      </c>
      <c r="M10" s="1">
        <v>36.406473401462108</v>
      </c>
      <c r="N10" s="1">
        <v>58.254489846803331</v>
      </c>
    </row>
    <row r="11" spans="1:14" x14ac:dyDescent="0.3">
      <c r="A11" s="1" t="s">
        <v>30</v>
      </c>
      <c r="B11" s="1">
        <v>77.18258153260355</v>
      </c>
      <c r="C11" s="1">
        <v>17.645474211464354</v>
      </c>
      <c r="D11" s="1">
        <v>3.1062912000072744</v>
      </c>
      <c r="E11" s="1">
        <v>62.198794214200333</v>
      </c>
      <c r="F11" s="1">
        <v>38.34409937021946</v>
      </c>
      <c r="G11" s="1">
        <v>17.37665580795187</v>
      </c>
      <c r="H11" s="1">
        <v>69.662076381772934</v>
      </c>
      <c r="I11" s="1">
        <v>54.165900457961001</v>
      </c>
      <c r="J11" s="1">
        <v>64.415190360627719</v>
      </c>
      <c r="K11" s="1">
        <v>51.512500641527566</v>
      </c>
      <c r="L11" s="1">
        <v>65.326261383324351</v>
      </c>
      <c r="M11" s="1">
        <v>77.174658138200783</v>
      </c>
      <c r="N11" s="1">
        <v>35.751442100760855</v>
      </c>
    </row>
    <row r="12" spans="1:14" x14ac:dyDescent="0.3">
      <c r="A12" s="1" t="s">
        <v>31</v>
      </c>
      <c r="B12" s="1">
        <v>1.3171410839854474</v>
      </c>
      <c r="C12" s="1">
        <v>57.011256239017172</v>
      </c>
      <c r="D12" s="1">
        <v>18.002648386437002</v>
      </c>
      <c r="E12" s="1">
        <v>47.231315325699669</v>
      </c>
      <c r="F12" s="1">
        <v>32.622088005402723</v>
      </c>
      <c r="G12" s="1">
        <v>73.859249380169729</v>
      </c>
      <c r="H12" s="1">
        <v>13.674453997506417</v>
      </c>
      <c r="I12" s="1">
        <v>38.309561656981373</v>
      </c>
      <c r="J12" s="1">
        <v>20.064991354463707</v>
      </c>
      <c r="K12" s="1">
        <v>61.222037784349141</v>
      </c>
      <c r="L12" s="1">
        <v>32.864965183611382</v>
      </c>
      <c r="M12" s="1">
        <v>26.770083191400612</v>
      </c>
      <c r="N12" s="1">
        <v>71.652020889125993</v>
      </c>
    </row>
    <row r="13" spans="1:14" x14ac:dyDescent="0.3">
      <c r="A13" s="1" t="s">
        <v>19</v>
      </c>
      <c r="B13" s="1">
        <v>65.427312655800449</v>
      </c>
      <c r="C13" s="1">
        <v>19.531948712558279</v>
      </c>
      <c r="D13" s="1">
        <v>10.733123020165758</v>
      </c>
      <c r="E13" s="1">
        <v>16.508498563854957</v>
      </c>
      <c r="F13" s="1">
        <v>8.2113455834795879</v>
      </c>
      <c r="G13" s="1">
        <v>22.815955306823962</v>
      </c>
      <c r="H13" s="1">
        <v>41.906926995438916</v>
      </c>
      <c r="I13" s="1">
        <v>25.322879740861797</v>
      </c>
      <c r="J13" s="1">
        <v>72.012542410532191</v>
      </c>
      <c r="K13" s="1">
        <v>21.27934964497388</v>
      </c>
      <c r="L13" s="1">
        <v>14.557297129278343</v>
      </c>
      <c r="M13" s="1">
        <v>11.201005364622016</v>
      </c>
      <c r="N13" s="1">
        <v>78.19138561776947</v>
      </c>
    </row>
    <row r="15" spans="1:14" x14ac:dyDescent="0.3">
      <c r="A15" s="4" t="s">
        <v>41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">
      <c r="A16" s="2" t="s">
        <v>29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2" t="s">
        <v>12</v>
      </c>
      <c r="N16" s="2" t="s">
        <v>13</v>
      </c>
    </row>
    <row r="17" spans="1:14" x14ac:dyDescent="0.3">
      <c r="A17" s="1" t="s">
        <v>14</v>
      </c>
      <c r="B17" s="1">
        <v>45.660915412761007</v>
      </c>
      <c r="C17" s="1">
        <v>70.085806309657286</v>
      </c>
      <c r="D17" s="1">
        <v>42.065962880684587</v>
      </c>
      <c r="E17" s="1">
        <v>58.043724813885774</v>
      </c>
      <c r="F17" s="1">
        <v>62.71627315937755</v>
      </c>
      <c r="G17" s="1">
        <v>21.929746919059227</v>
      </c>
      <c r="H17" s="1">
        <v>65.415690104001186</v>
      </c>
      <c r="I17" s="1">
        <v>20.722572045739021</v>
      </c>
      <c r="J17" s="1">
        <v>10.165768054772439</v>
      </c>
      <c r="K17" s="1">
        <v>73.489136547989986</v>
      </c>
      <c r="L17" s="1">
        <v>38.281936065317687</v>
      </c>
      <c r="M17" s="1">
        <v>36.406473401462108</v>
      </c>
      <c r="N17" s="1">
        <v>58.254489846803331</v>
      </c>
    </row>
    <row r="18" spans="1:14" x14ac:dyDescent="0.3">
      <c r="A18" s="1" t="s">
        <v>30</v>
      </c>
      <c r="B18" s="1">
        <v>77.18258153260355</v>
      </c>
      <c r="C18" s="1">
        <v>17.645474211464354</v>
      </c>
      <c r="D18" s="1">
        <v>3.1062912000072744</v>
      </c>
      <c r="E18" s="1">
        <v>62.198794214200333</v>
      </c>
      <c r="F18" s="1">
        <v>38.34409937021946</v>
      </c>
      <c r="G18" s="1">
        <v>17.37665580795187</v>
      </c>
      <c r="H18" s="1">
        <v>69.662076381772934</v>
      </c>
      <c r="I18" s="1">
        <v>54.165900457961001</v>
      </c>
      <c r="J18" s="1">
        <v>64.415190360627719</v>
      </c>
      <c r="K18" s="1">
        <v>51.512500641527566</v>
      </c>
      <c r="L18" s="1">
        <v>65.326261383324351</v>
      </c>
      <c r="M18" s="1">
        <v>77.174658138200783</v>
      </c>
      <c r="N18" s="1">
        <v>35.751442100760855</v>
      </c>
    </row>
    <row r="19" spans="1:14" x14ac:dyDescent="0.3">
      <c r="A19" s="1" t="s">
        <v>31</v>
      </c>
      <c r="B19" s="1">
        <v>1.3171410839854474</v>
      </c>
      <c r="C19" s="1">
        <v>57.011256239017172</v>
      </c>
      <c r="D19" s="1">
        <v>18.002648386437002</v>
      </c>
      <c r="E19" s="1">
        <v>47.231315325699669</v>
      </c>
      <c r="F19" s="1">
        <v>32.622088005402723</v>
      </c>
      <c r="G19" s="1">
        <v>73.859249380169729</v>
      </c>
      <c r="H19" s="1">
        <v>13.674453997506417</v>
      </c>
      <c r="I19" s="1">
        <v>38.309561656981373</v>
      </c>
      <c r="J19" s="1">
        <v>20.064991354463707</v>
      </c>
      <c r="K19" s="1">
        <v>61.222037784349141</v>
      </c>
      <c r="L19" s="1">
        <v>32.864965183611382</v>
      </c>
      <c r="M19" s="1">
        <v>26.770083191400612</v>
      </c>
      <c r="N19" s="1">
        <v>71.652020889125993</v>
      </c>
    </row>
    <row r="20" spans="1:14" x14ac:dyDescent="0.3">
      <c r="A20" s="1" t="s">
        <v>19</v>
      </c>
      <c r="B20" s="1">
        <v>65.427312655800449</v>
      </c>
      <c r="C20" s="1">
        <v>19.531948712558279</v>
      </c>
      <c r="D20" s="1">
        <v>10.733123020165758</v>
      </c>
      <c r="E20" s="1">
        <v>16.508498563854957</v>
      </c>
      <c r="F20" s="1">
        <v>8.2113455834795879</v>
      </c>
      <c r="G20" s="1">
        <v>22.815955306823962</v>
      </c>
      <c r="H20" s="1">
        <v>41.906926995438916</v>
      </c>
      <c r="I20" s="1">
        <v>25.322879740861797</v>
      </c>
      <c r="J20" s="1">
        <v>72.012542410532191</v>
      </c>
      <c r="K20" s="1">
        <v>21.27934964497388</v>
      </c>
      <c r="L20" s="1">
        <v>14.557297129278343</v>
      </c>
      <c r="M20" s="1">
        <v>11.201005364622016</v>
      </c>
      <c r="N20" s="1">
        <v>78.19138561776947</v>
      </c>
    </row>
  </sheetData>
  <mergeCells count="3">
    <mergeCell ref="A1:N1"/>
    <mergeCell ref="A8:N8"/>
    <mergeCell ref="A15:N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24EF-9C44-402A-A2A1-99AF3507051E}">
  <dimension ref="A1:N6"/>
  <sheetViews>
    <sheetView workbookViewId="0">
      <selection sqref="A1:N6"/>
    </sheetView>
  </sheetViews>
  <sheetFormatPr defaultRowHeight="14.4" x14ac:dyDescent="0.3"/>
  <sheetData>
    <row r="1" spans="1:14" x14ac:dyDescent="0.3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29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14</v>
      </c>
      <c r="B3">
        <v>45.660915412761007</v>
      </c>
      <c r="C3">
        <v>70.085806309657286</v>
      </c>
      <c r="D3">
        <v>42.065962880684587</v>
      </c>
      <c r="E3">
        <v>58.043724813885774</v>
      </c>
      <c r="F3">
        <v>62.71627315937755</v>
      </c>
      <c r="G3">
        <v>21.929746919059227</v>
      </c>
      <c r="H3">
        <v>65.415690104001186</v>
      </c>
      <c r="I3">
        <v>20.722572045739021</v>
      </c>
      <c r="J3">
        <v>10.165768054772439</v>
      </c>
      <c r="K3">
        <v>73.489136547989986</v>
      </c>
      <c r="L3">
        <v>38.281936065317687</v>
      </c>
      <c r="M3">
        <v>36.406473401462108</v>
      </c>
      <c r="N3">
        <v>58.254489846803331</v>
      </c>
    </row>
    <row r="4" spans="1:14" x14ac:dyDescent="0.3">
      <c r="A4" t="s">
        <v>30</v>
      </c>
      <c r="B4">
        <v>77.18258153260355</v>
      </c>
      <c r="C4">
        <v>17.645474211464354</v>
      </c>
      <c r="D4">
        <v>3.1062912000072744</v>
      </c>
      <c r="E4">
        <v>62.198794214200333</v>
      </c>
      <c r="F4">
        <v>38.34409937021946</v>
      </c>
      <c r="G4">
        <v>17.37665580795187</v>
      </c>
      <c r="H4">
        <v>69.662076381772934</v>
      </c>
      <c r="I4">
        <v>54.165900457961001</v>
      </c>
      <c r="J4">
        <v>64.415190360627719</v>
      </c>
      <c r="K4">
        <v>51.512500641527566</v>
      </c>
      <c r="L4">
        <v>65.326261383324351</v>
      </c>
      <c r="M4">
        <v>77.174658138200783</v>
      </c>
      <c r="N4">
        <v>35.751442100760855</v>
      </c>
    </row>
    <row r="5" spans="1:14" x14ac:dyDescent="0.3">
      <c r="A5" t="s">
        <v>31</v>
      </c>
      <c r="B5">
        <v>1.3171410839854474</v>
      </c>
      <c r="C5">
        <v>57.011256239017172</v>
      </c>
      <c r="D5">
        <v>18.002648386437002</v>
      </c>
      <c r="E5">
        <v>47.231315325699669</v>
      </c>
      <c r="F5">
        <v>32.622088005402723</v>
      </c>
      <c r="G5">
        <v>73.859249380169729</v>
      </c>
      <c r="H5">
        <v>13.674453997506417</v>
      </c>
      <c r="I5">
        <v>38.309561656981373</v>
      </c>
      <c r="J5">
        <v>20.064991354463707</v>
      </c>
      <c r="K5">
        <v>61.222037784349141</v>
      </c>
      <c r="L5">
        <v>32.864965183611382</v>
      </c>
      <c r="M5">
        <v>26.770083191400612</v>
      </c>
      <c r="N5">
        <v>71.652020889125993</v>
      </c>
    </row>
    <row r="6" spans="1:14" x14ac:dyDescent="0.3">
      <c r="A6" t="s">
        <v>19</v>
      </c>
      <c r="B6">
        <v>65.427312655800449</v>
      </c>
      <c r="C6">
        <v>19.531948712558279</v>
      </c>
      <c r="D6">
        <v>10.733123020165758</v>
      </c>
      <c r="E6">
        <v>16.508498563854957</v>
      </c>
      <c r="F6">
        <v>8.2113455834795879</v>
      </c>
      <c r="G6">
        <v>22.815955306823962</v>
      </c>
      <c r="H6">
        <v>41.906926995438916</v>
      </c>
      <c r="I6">
        <v>25.322879740861797</v>
      </c>
      <c r="J6">
        <v>72.012542410532191</v>
      </c>
      <c r="K6">
        <v>21.27934964497388</v>
      </c>
      <c r="L6">
        <v>14.557297129278343</v>
      </c>
      <c r="M6">
        <v>11.201005364622016</v>
      </c>
      <c r="N6">
        <v>78.19138561776947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ACFB-5734-4A31-AE16-77712DB84483}">
  <dimension ref="A1:N18"/>
  <sheetViews>
    <sheetView workbookViewId="0">
      <selection sqref="A1:N1"/>
    </sheetView>
  </sheetViews>
  <sheetFormatPr defaultRowHeight="14.4" x14ac:dyDescent="0.3"/>
  <cols>
    <col min="1" max="1" width="14.33203125" customWidth="1"/>
  </cols>
  <sheetData>
    <row r="1" spans="1:14" x14ac:dyDescent="0.3">
      <c r="A1" s="3" t="s">
        <v>122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123</v>
      </c>
      <c r="B3">
        <v>7.1879798641373531</v>
      </c>
      <c r="C3">
        <v>5.6004624164024346</v>
      </c>
      <c r="D3">
        <v>6.493223000271036</v>
      </c>
      <c r="E3">
        <v>5.0314179392062099</v>
      </c>
      <c r="F3">
        <v>7.2090054774796553</v>
      </c>
      <c r="G3">
        <v>4.6599210642227877</v>
      </c>
      <c r="H3">
        <v>6.2303340705743171</v>
      </c>
      <c r="I3">
        <v>6.9223716729407805</v>
      </c>
      <c r="J3">
        <v>5.1202824081530025</v>
      </c>
      <c r="K3">
        <v>6.5244167846572045</v>
      </c>
      <c r="L3">
        <v>5.5682259802179193</v>
      </c>
      <c r="M3">
        <v>5.8003808408542925</v>
      </c>
      <c r="N3">
        <v>4.5242966790858006</v>
      </c>
    </row>
    <row r="4" spans="1:14" x14ac:dyDescent="0.3">
      <c r="A4" t="s">
        <v>14</v>
      </c>
      <c r="B4">
        <v>2.5744203185548846</v>
      </c>
      <c r="C4">
        <v>3.2931817071268226</v>
      </c>
      <c r="D4">
        <v>2.6682918208733661</v>
      </c>
      <c r="E4">
        <v>1.2509715691653842</v>
      </c>
      <c r="F4">
        <v>2.669181001828115</v>
      </c>
      <c r="G4">
        <v>1.2259604219803308</v>
      </c>
      <c r="H4">
        <v>1.644929115603611</v>
      </c>
      <c r="I4">
        <v>2.0636538667955469</v>
      </c>
      <c r="J4">
        <v>1.7648749637808394</v>
      </c>
      <c r="K4">
        <v>2.5241122285613247</v>
      </c>
      <c r="L4">
        <v>1.9696572215592987</v>
      </c>
      <c r="M4">
        <v>3.0257655903073259</v>
      </c>
      <c r="N4">
        <v>0.89959164539216896</v>
      </c>
    </row>
    <row r="5" spans="1:14" x14ac:dyDescent="0.3">
      <c r="A5" t="s">
        <v>15</v>
      </c>
      <c r="B5">
        <v>0.16107037958324377</v>
      </c>
      <c r="C5">
        <v>0.94707499098196057</v>
      </c>
      <c r="D5">
        <v>0.96411248311952158</v>
      </c>
      <c r="E5">
        <v>1.4756335604728776E-2</v>
      </c>
      <c r="F5">
        <v>0.38216517155213858</v>
      </c>
      <c r="G5">
        <v>6.785557181690216E-2</v>
      </c>
      <c r="H5">
        <v>0.58803630017373854</v>
      </c>
      <c r="I5">
        <v>0.35632239178637615</v>
      </c>
      <c r="J5">
        <v>0.9504930153823401</v>
      </c>
      <c r="K5">
        <v>0.72950872410855083</v>
      </c>
      <c r="L5">
        <v>0.94007246583539739</v>
      </c>
      <c r="M5">
        <v>0.66555067488707742</v>
      </c>
      <c r="N5">
        <v>0.11470512712178615</v>
      </c>
    </row>
    <row r="6" spans="1:14" x14ac:dyDescent="0.3">
      <c r="A6" t="s">
        <v>16</v>
      </c>
      <c r="B6">
        <v>0.92003764589268677</v>
      </c>
      <c r="C6">
        <v>0.96618909320822077</v>
      </c>
      <c r="D6">
        <v>0.70123974093521269</v>
      </c>
      <c r="E6">
        <v>0.10596260135190605</v>
      </c>
      <c r="F6">
        <v>0.77255607008719462</v>
      </c>
      <c r="G6">
        <v>0.52944201813439595</v>
      </c>
      <c r="H6">
        <v>0.28168584725702484</v>
      </c>
      <c r="I6">
        <v>7.7201633003109782E-2</v>
      </c>
      <c r="J6">
        <v>0.41404021576866945</v>
      </c>
      <c r="K6">
        <v>0.17823827083870047</v>
      </c>
      <c r="L6">
        <v>0.57546934211644252</v>
      </c>
      <c r="M6">
        <v>0.85667682062480033</v>
      </c>
      <c r="N6">
        <v>0.63198406355610592</v>
      </c>
    </row>
    <row r="7" spans="1:14" x14ac:dyDescent="0.3">
      <c r="A7" t="s">
        <v>17</v>
      </c>
      <c r="B7">
        <v>0.85438444779581724</v>
      </c>
      <c r="C7">
        <v>0.47822464507543949</v>
      </c>
      <c r="D7">
        <v>0.81626923136433094</v>
      </c>
      <c r="E7">
        <v>0.31469077540739909</v>
      </c>
      <c r="F7">
        <v>0.79827020049992081</v>
      </c>
      <c r="G7">
        <v>0.43371097435054273</v>
      </c>
      <c r="H7">
        <v>0.64578217268414451</v>
      </c>
      <c r="I7">
        <v>0.99323691794940816</v>
      </c>
      <c r="J7">
        <v>0.25598489685481418</v>
      </c>
      <c r="K7">
        <v>0.65825665903965214</v>
      </c>
      <c r="L7">
        <v>0.2845915735312442</v>
      </c>
      <c r="M7">
        <v>0.67089696558404066</v>
      </c>
      <c r="N7">
        <v>1.7505169674120413E-2</v>
      </c>
    </row>
    <row r="8" spans="1:14" x14ac:dyDescent="0.3">
      <c r="A8" t="s">
        <v>18</v>
      </c>
      <c r="B8">
        <v>0.63892784528313651</v>
      </c>
      <c r="C8">
        <v>0.90169297786120162</v>
      </c>
      <c r="D8">
        <v>0.18667036545430082</v>
      </c>
      <c r="E8">
        <v>0.81556185680135029</v>
      </c>
      <c r="F8">
        <v>0.716189559688861</v>
      </c>
      <c r="G8">
        <v>0.19495185767848999</v>
      </c>
      <c r="H8">
        <v>0.12942479548870323</v>
      </c>
      <c r="I8">
        <v>0.63689292405665276</v>
      </c>
      <c r="J8">
        <v>0.14435683577501568</v>
      </c>
      <c r="K8">
        <v>0.95810857457442111</v>
      </c>
      <c r="L8">
        <v>0.16952384007621457</v>
      </c>
      <c r="M8">
        <v>0.83264112921140765</v>
      </c>
      <c r="N8">
        <v>0.13539728504015647</v>
      </c>
    </row>
    <row r="9" spans="1:14" x14ac:dyDescent="0.3">
      <c r="A9" t="s">
        <v>19</v>
      </c>
      <c r="B9">
        <v>2.2082902077081359</v>
      </c>
      <c r="C9">
        <v>1.605218686440117</v>
      </c>
      <c r="D9">
        <v>2.1051799746321742</v>
      </c>
      <c r="E9">
        <v>2.1367641918112552</v>
      </c>
      <c r="F9">
        <v>2.2801876216617027</v>
      </c>
      <c r="G9">
        <v>1.9136483978749665</v>
      </c>
      <c r="H9">
        <v>2.1948800772141852</v>
      </c>
      <c r="I9">
        <v>2.5516911861250651</v>
      </c>
      <c r="J9">
        <v>1.4101184048142821</v>
      </c>
      <c r="K9">
        <v>2.1210036938778352</v>
      </c>
      <c r="L9">
        <v>2.1686919091276771</v>
      </c>
      <c r="M9">
        <v>1.8532976530211012</v>
      </c>
      <c r="N9">
        <v>1.9420780139970568</v>
      </c>
    </row>
    <row r="10" spans="1:14" x14ac:dyDescent="0.3">
      <c r="A10" t="s">
        <v>15</v>
      </c>
      <c r="B10">
        <v>0.83513383164917976</v>
      </c>
      <c r="C10">
        <v>0.22493499954681684</v>
      </c>
      <c r="D10">
        <v>0.63653503699003566</v>
      </c>
      <c r="E10">
        <v>0.75378589827450049</v>
      </c>
      <c r="F10">
        <v>6.3119985224117658E-2</v>
      </c>
      <c r="G10">
        <v>0.50655206200678438</v>
      </c>
      <c r="H10">
        <v>0.40855284409710291</v>
      </c>
      <c r="I10">
        <v>0.77653918301074776</v>
      </c>
      <c r="J10">
        <v>9.2429782968020957E-3</v>
      </c>
      <c r="K10">
        <v>0.49336871727698894</v>
      </c>
      <c r="L10">
        <v>0.27217687244180189</v>
      </c>
      <c r="M10">
        <v>0.84264790569124026</v>
      </c>
      <c r="N10">
        <v>0.1845668880661766</v>
      </c>
    </row>
    <row r="11" spans="1:14" x14ac:dyDescent="0.3">
      <c r="A11" t="s">
        <v>16</v>
      </c>
      <c r="B11">
        <v>0.7605919513394741</v>
      </c>
      <c r="C11">
        <v>0.32956267971307285</v>
      </c>
      <c r="D11">
        <v>0.46487786594638458</v>
      </c>
      <c r="E11">
        <v>0.83602009819096967</v>
      </c>
      <c r="F11">
        <v>0.57509468359279425</v>
      </c>
      <c r="G11">
        <v>0.63632130145607124</v>
      </c>
      <c r="H11">
        <v>0.37567858952312172</v>
      </c>
      <c r="I11">
        <v>0.54330082502433252</v>
      </c>
      <c r="J11">
        <v>0.94214533186898097</v>
      </c>
      <c r="K11">
        <v>0.48596463836395087</v>
      </c>
      <c r="L11">
        <v>0.39825037960395104</v>
      </c>
      <c r="M11">
        <v>0.37606023863839289</v>
      </c>
      <c r="N11">
        <v>0.99063477101351305</v>
      </c>
    </row>
    <row r="12" spans="1:14" x14ac:dyDescent="0.3">
      <c r="A12" t="s">
        <v>17</v>
      </c>
      <c r="B12">
        <v>0.1511347744030288</v>
      </c>
      <c r="C12">
        <v>0.55430456565627539</v>
      </c>
      <c r="D12">
        <v>0.43730230924557911</v>
      </c>
      <c r="E12">
        <v>0.33492399320404709</v>
      </c>
      <c r="F12">
        <v>0.96951397246231796</v>
      </c>
      <c r="G12">
        <v>0.21657867726923563</v>
      </c>
      <c r="H12">
        <v>0.68195195194820746</v>
      </c>
      <c r="I12">
        <v>0.92636342896998669</v>
      </c>
      <c r="J12">
        <v>0.21971491039484337</v>
      </c>
      <c r="K12">
        <v>0.3386074240208391</v>
      </c>
      <c r="L12">
        <v>0.9656610356530444</v>
      </c>
      <c r="M12">
        <v>0.45178878142996426</v>
      </c>
      <c r="N12">
        <v>0.13106178032799931</v>
      </c>
    </row>
    <row r="13" spans="1:14" x14ac:dyDescent="0.3">
      <c r="A13" t="s">
        <v>18</v>
      </c>
      <c r="B13">
        <v>0.46142965031645333</v>
      </c>
      <c r="C13">
        <v>0.49641644152395203</v>
      </c>
      <c r="D13">
        <v>0.56646476245017496</v>
      </c>
      <c r="E13">
        <v>0.21203420214173785</v>
      </c>
      <c r="F13">
        <v>0.67245898038247287</v>
      </c>
      <c r="G13">
        <v>0.5541963571428753</v>
      </c>
      <c r="H13">
        <v>0.72869669164575301</v>
      </c>
      <c r="I13">
        <v>0.30548774911999799</v>
      </c>
      <c r="J13">
        <v>0.23901518425365564</v>
      </c>
      <c r="K13">
        <v>0.80306291421605658</v>
      </c>
      <c r="L13">
        <v>0.53260362142888007</v>
      </c>
      <c r="M13">
        <v>0.18280072726150365</v>
      </c>
      <c r="N13">
        <v>0.63581457458936796</v>
      </c>
    </row>
    <row r="14" spans="1:14" x14ac:dyDescent="0.3">
      <c r="A14" t="s">
        <v>20</v>
      </c>
      <c r="B14">
        <v>2.4052693378743326</v>
      </c>
      <c r="C14">
        <v>0.70206202283549479</v>
      </c>
      <c r="D14">
        <v>1.7197512047654957</v>
      </c>
      <c r="E14">
        <v>1.6436821782295707</v>
      </c>
      <c r="F14">
        <v>2.259636853989837</v>
      </c>
      <c r="G14">
        <v>1.5203122443674908</v>
      </c>
      <c r="H14">
        <v>2.3905248777565209</v>
      </c>
      <c r="I14">
        <v>2.307026620020169</v>
      </c>
      <c r="J14">
        <v>1.9452890395578812</v>
      </c>
      <c r="K14">
        <v>1.8793008622180445</v>
      </c>
      <c r="L14">
        <v>1.429876849530944</v>
      </c>
      <c r="M14">
        <v>0.92131759752586528</v>
      </c>
      <c r="N14">
        <v>1.6826270196965747</v>
      </c>
    </row>
    <row r="15" spans="1:14" x14ac:dyDescent="0.3">
      <c r="A15" t="s">
        <v>15</v>
      </c>
      <c r="B15">
        <v>0.60361437342399415</v>
      </c>
      <c r="C15">
        <v>0.33029298425543818</v>
      </c>
      <c r="D15">
        <v>0.77290981810215564</v>
      </c>
      <c r="E15">
        <v>2.7227750083151925E-2</v>
      </c>
      <c r="F15">
        <v>0.88237816306115058</v>
      </c>
      <c r="G15">
        <v>0.61871201264322084</v>
      </c>
      <c r="H15">
        <v>0.73222051245366748</v>
      </c>
      <c r="I15">
        <v>7.9578717576559432E-2</v>
      </c>
      <c r="J15">
        <v>0.51261589745281955</v>
      </c>
      <c r="K15">
        <v>0.66376473200725528</v>
      </c>
      <c r="L15">
        <v>6.2740716360838111E-2</v>
      </c>
      <c r="M15">
        <v>0.35168498671491855</v>
      </c>
      <c r="N15">
        <v>0.62738889649247265</v>
      </c>
    </row>
    <row r="16" spans="1:14" x14ac:dyDescent="0.3">
      <c r="A16" t="s">
        <v>16</v>
      </c>
      <c r="B16">
        <v>0.51112999265005254</v>
      </c>
      <c r="C16">
        <v>7.3718449360938298E-2</v>
      </c>
      <c r="D16">
        <v>0.12465299025121057</v>
      </c>
      <c r="E16">
        <v>0.67584251674941831</v>
      </c>
      <c r="F16">
        <v>0.39753659795966145</v>
      </c>
      <c r="G16">
        <v>0.44068725108810858</v>
      </c>
      <c r="H16">
        <v>0.39345826699770281</v>
      </c>
      <c r="I16">
        <v>0.52809768563067805</v>
      </c>
      <c r="J16">
        <v>0.37656156054423962</v>
      </c>
      <c r="K16">
        <v>0.15257123116243876</v>
      </c>
      <c r="L16">
        <v>0.38406563747000066</v>
      </c>
      <c r="M16">
        <v>0.214930997169687</v>
      </c>
      <c r="N16">
        <v>0.67855889485300502</v>
      </c>
    </row>
    <row r="17" spans="1:14" x14ac:dyDescent="0.3">
      <c r="A17" t="s">
        <v>17</v>
      </c>
      <c r="B17">
        <v>0.85369102838201227</v>
      </c>
      <c r="C17">
        <v>2.5250219262160423E-2</v>
      </c>
      <c r="D17">
        <v>0.65581748771052151</v>
      </c>
      <c r="E17">
        <v>0.57792559322976833</v>
      </c>
      <c r="F17">
        <v>0.56213680571680003</v>
      </c>
      <c r="G17">
        <v>2.771099263117871E-2</v>
      </c>
      <c r="H17">
        <v>0.72669345381627515</v>
      </c>
      <c r="I17">
        <v>0.88783361225016966</v>
      </c>
      <c r="J17">
        <v>0.66477077012123575</v>
      </c>
      <c r="K17">
        <v>0.91013341561563232</v>
      </c>
      <c r="L17">
        <v>0.62031431412436688</v>
      </c>
      <c r="M17">
        <v>3.9523384424048125E-2</v>
      </c>
      <c r="N17">
        <v>2.0481643957968698E-2</v>
      </c>
    </row>
    <row r="18" spans="1:14" x14ac:dyDescent="0.3">
      <c r="A18" t="s">
        <v>18</v>
      </c>
      <c r="B18">
        <v>0.43683394341827375</v>
      </c>
      <c r="C18">
        <v>0.27280036995695789</v>
      </c>
      <c r="D18">
        <v>0.16637090870160787</v>
      </c>
      <c r="E18">
        <v>0.36268631816723229</v>
      </c>
      <c r="F18">
        <v>0.41758528725222488</v>
      </c>
      <c r="G18">
        <v>0.43320198800498255</v>
      </c>
      <c r="H18">
        <v>0.53815264448887523</v>
      </c>
      <c r="I18">
        <v>0.81151660456276198</v>
      </c>
      <c r="J18">
        <v>0.39134081143958632</v>
      </c>
      <c r="K18">
        <v>0.15283148343271802</v>
      </c>
      <c r="L18">
        <v>0.36275618157573819</v>
      </c>
      <c r="M18">
        <v>0.31517822921721161</v>
      </c>
      <c r="N18">
        <v>0.35619758439312821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2B5A-0929-4D05-B485-06535FEB4E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9660-0099-4727-92CB-CE3BCA53FE1C}">
  <dimension ref="A1:C5"/>
  <sheetViews>
    <sheetView workbookViewId="0">
      <selection activeCell="D5" sqref="D5"/>
    </sheetView>
  </sheetViews>
  <sheetFormatPr defaultRowHeight="14.4" x14ac:dyDescent="0.3"/>
  <sheetData>
    <row r="1" spans="1:3" x14ac:dyDescent="0.3">
      <c r="A1" s="3" t="s">
        <v>115</v>
      </c>
      <c r="B1" s="3"/>
      <c r="C1" s="3"/>
    </row>
    <row r="2" spans="1:3" x14ac:dyDescent="0.3">
      <c r="C2" t="s">
        <v>116</v>
      </c>
    </row>
    <row r="3" spans="1:3" x14ac:dyDescent="0.3">
      <c r="A3" t="s">
        <v>117</v>
      </c>
      <c r="B3" t="s">
        <v>109</v>
      </c>
      <c r="C3">
        <v>3.673</v>
      </c>
    </row>
    <row r="4" spans="1:3" x14ac:dyDescent="0.3">
      <c r="A4" t="s">
        <v>118</v>
      </c>
      <c r="B4" t="s">
        <v>119</v>
      </c>
      <c r="C4">
        <v>65.16</v>
      </c>
    </row>
    <row r="5" spans="1:3" x14ac:dyDescent="0.3">
      <c r="A5" t="s">
        <v>120</v>
      </c>
      <c r="B5" t="s">
        <v>121</v>
      </c>
      <c r="C5">
        <v>1.4561999999999999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104-54CC-4003-B73B-F7807D8E99CD}">
  <dimension ref="A1:N7"/>
  <sheetViews>
    <sheetView workbookViewId="0">
      <selection activeCell="P1" sqref="P1"/>
    </sheetView>
  </sheetViews>
  <sheetFormatPr defaultRowHeight="14.4" x14ac:dyDescent="0.3"/>
  <sheetData>
    <row r="1" spans="1:14" x14ac:dyDescent="0.3">
      <c r="A1" t="s">
        <v>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109</v>
      </c>
      <c r="B2">
        <v>190</v>
      </c>
      <c r="C2">
        <v>138</v>
      </c>
      <c r="D2">
        <v>168</v>
      </c>
      <c r="E2">
        <v>114</v>
      </c>
      <c r="F2">
        <v>186</v>
      </c>
      <c r="G2">
        <v>133</v>
      </c>
      <c r="H2">
        <v>185</v>
      </c>
      <c r="I2">
        <v>132</v>
      </c>
      <c r="J2">
        <v>200</v>
      </c>
      <c r="K2">
        <v>109</v>
      </c>
      <c r="L2">
        <v>169</v>
      </c>
      <c r="M2">
        <v>188</v>
      </c>
      <c r="N2">
        <v>112</v>
      </c>
    </row>
    <row r="3" spans="1:14" x14ac:dyDescent="0.3">
      <c r="A3" t="s">
        <v>110</v>
      </c>
      <c r="B3">
        <v>142</v>
      </c>
      <c r="C3">
        <v>105</v>
      </c>
      <c r="D3">
        <v>108</v>
      </c>
      <c r="E3">
        <v>192</v>
      </c>
      <c r="F3">
        <v>178</v>
      </c>
      <c r="G3">
        <v>114</v>
      </c>
      <c r="H3">
        <v>120</v>
      </c>
      <c r="I3">
        <v>140</v>
      </c>
      <c r="J3">
        <v>119</v>
      </c>
      <c r="K3">
        <v>127</v>
      </c>
      <c r="L3">
        <v>125</v>
      </c>
      <c r="M3">
        <v>106</v>
      </c>
      <c r="N3">
        <v>172</v>
      </c>
    </row>
    <row r="4" spans="1:14" x14ac:dyDescent="0.3">
      <c r="A4" t="s">
        <v>111</v>
      </c>
      <c r="B4">
        <v>168</v>
      </c>
      <c r="C4">
        <v>108</v>
      </c>
      <c r="D4">
        <v>109</v>
      </c>
      <c r="E4">
        <v>165</v>
      </c>
      <c r="F4">
        <v>167</v>
      </c>
      <c r="G4">
        <v>194</v>
      </c>
      <c r="H4">
        <v>180</v>
      </c>
      <c r="I4">
        <v>115</v>
      </c>
      <c r="J4">
        <v>198</v>
      </c>
      <c r="K4">
        <v>163</v>
      </c>
      <c r="L4">
        <v>165</v>
      </c>
      <c r="M4">
        <v>164</v>
      </c>
      <c r="N4">
        <v>178</v>
      </c>
    </row>
    <row r="5" spans="1:14" x14ac:dyDescent="0.3">
      <c r="A5" t="s">
        <v>112</v>
      </c>
      <c r="B5">
        <v>186</v>
      </c>
      <c r="C5">
        <v>143</v>
      </c>
      <c r="D5">
        <v>130</v>
      </c>
      <c r="E5">
        <v>135</v>
      </c>
      <c r="F5">
        <v>191</v>
      </c>
      <c r="G5">
        <v>160</v>
      </c>
      <c r="H5">
        <v>128</v>
      </c>
      <c r="I5">
        <v>104</v>
      </c>
      <c r="J5">
        <v>175</v>
      </c>
      <c r="K5">
        <v>193</v>
      </c>
      <c r="L5">
        <v>137</v>
      </c>
      <c r="M5">
        <v>132</v>
      </c>
      <c r="N5">
        <v>188</v>
      </c>
    </row>
    <row r="6" spans="1:14" x14ac:dyDescent="0.3">
      <c r="A6" t="s">
        <v>113</v>
      </c>
      <c r="B6">
        <v>159</v>
      </c>
      <c r="C6">
        <v>100</v>
      </c>
      <c r="D6">
        <v>133</v>
      </c>
      <c r="E6">
        <v>103</v>
      </c>
      <c r="F6">
        <v>144</v>
      </c>
      <c r="G6">
        <v>192</v>
      </c>
      <c r="H6">
        <v>166</v>
      </c>
      <c r="I6">
        <v>148</v>
      </c>
      <c r="J6">
        <v>168</v>
      </c>
      <c r="K6">
        <v>101</v>
      </c>
      <c r="L6">
        <v>114</v>
      </c>
      <c r="M6">
        <v>187</v>
      </c>
      <c r="N6">
        <v>184</v>
      </c>
    </row>
    <row r="7" spans="1:14" x14ac:dyDescent="0.3">
      <c r="A7" t="s">
        <v>114</v>
      </c>
      <c r="B7">
        <v>118</v>
      </c>
      <c r="C7">
        <v>135</v>
      </c>
      <c r="D7">
        <v>159</v>
      </c>
      <c r="E7">
        <v>135</v>
      </c>
      <c r="F7">
        <v>159</v>
      </c>
      <c r="G7">
        <v>145</v>
      </c>
      <c r="H7">
        <v>113</v>
      </c>
      <c r="I7">
        <v>121</v>
      </c>
      <c r="J7">
        <v>193</v>
      </c>
      <c r="K7">
        <v>151</v>
      </c>
      <c r="L7">
        <v>104</v>
      </c>
      <c r="M7">
        <v>137</v>
      </c>
      <c r="N7">
        <v>196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41E4-DCA2-459E-A411-41756F10081D}">
  <dimension ref="B2:W4"/>
  <sheetViews>
    <sheetView workbookViewId="0"/>
  </sheetViews>
  <sheetFormatPr defaultRowHeight="14.4" x14ac:dyDescent="0.3"/>
  <sheetData>
    <row r="2" spans="2:23" x14ac:dyDescent="0.3">
      <c r="B2" s="3" t="s">
        <v>87</v>
      </c>
      <c r="C2" s="3"/>
    </row>
    <row r="3" spans="2:23" x14ac:dyDescent="0.3">
      <c r="B3" s="3" t="s">
        <v>88</v>
      </c>
      <c r="C3" s="3"/>
      <c r="D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105</v>
      </c>
      <c r="S3" t="s">
        <v>106</v>
      </c>
      <c r="T3" t="s">
        <v>107</v>
      </c>
      <c r="U3" t="s">
        <v>108</v>
      </c>
    </row>
    <row r="4" spans="2:23" x14ac:dyDescent="0.3">
      <c r="B4" t="s">
        <v>89</v>
      </c>
      <c r="C4" t="s">
        <v>90</v>
      </c>
      <c r="D4" s="5">
        <v>4.5600000000000002E-2</v>
      </c>
      <c r="E4" s="5">
        <v>6.3399999999999998E-2</v>
      </c>
      <c r="F4" s="5">
        <v>2.5600000000000001E-2</v>
      </c>
      <c r="G4" s="5">
        <v>4.7600000000000003E-2</v>
      </c>
      <c r="H4" s="5">
        <v>4.5600000000000002E-2</v>
      </c>
      <c r="I4" s="5">
        <v>6.3399999999999998E-2</v>
      </c>
      <c r="J4" s="5">
        <v>2.5600000000000001E-2</v>
      </c>
      <c r="K4" s="5">
        <v>4.7600000000000003E-2</v>
      </c>
      <c r="L4" s="5">
        <v>4.5600000000000002E-2</v>
      </c>
      <c r="M4" s="5">
        <v>6.3399999999999998E-2</v>
      </c>
      <c r="N4" s="5">
        <v>2.5600000000000001E-2</v>
      </c>
      <c r="O4" s="5">
        <v>4.7600000000000003E-2</v>
      </c>
      <c r="P4" s="5">
        <v>4.5600000000000002E-2</v>
      </c>
      <c r="Q4" s="5">
        <v>6.3399999999999998E-2</v>
      </c>
      <c r="R4" s="5">
        <v>2.5600000000000001E-2</v>
      </c>
      <c r="S4" s="5">
        <v>4.7600000000000003E-2</v>
      </c>
      <c r="T4" s="5">
        <v>4.5600000000000002E-2</v>
      </c>
      <c r="U4" s="5">
        <v>6.3399999999999998E-2</v>
      </c>
      <c r="V4" s="5"/>
      <c r="W4" s="5"/>
    </row>
  </sheetData>
  <mergeCells count="2">
    <mergeCell ref="B3:C3"/>
    <mergeCell ref="B2: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413F-DF1E-42A8-B0A7-43BCBB016809}">
  <dimension ref="A1:O7"/>
  <sheetViews>
    <sheetView workbookViewId="0">
      <selection activeCell="A2" sqref="A2"/>
    </sheetView>
  </sheetViews>
  <sheetFormatPr defaultRowHeight="14.4" x14ac:dyDescent="0.3"/>
  <sheetData>
    <row r="1" spans="1:15" x14ac:dyDescent="0.3">
      <c r="A1" t="s">
        <v>37</v>
      </c>
    </row>
    <row r="3" spans="1:15" x14ac:dyDescent="0.3">
      <c r="A3" t="s">
        <v>29</v>
      </c>
      <c r="B3" t="s">
        <v>35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3">
      <c r="A4" t="s">
        <v>38</v>
      </c>
      <c r="B4" t="s">
        <v>36</v>
      </c>
      <c r="C4">
        <v>45.660915412761007</v>
      </c>
      <c r="D4">
        <v>70.085806309657286</v>
      </c>
      <c r="E4">
        <v>42.065962880684587</v>
      </c>
      <c r="F4">
        <v>58.043724813885774</v>
      </c>
      <c r="G4">
        <v>62.71627315937755</v>
      </c>
      <c r="H4">
        <v>21.929746919059227</v>
      </c>
      <c r="I4">
        <v>65.415690104001186</v>
      </c>
      <c r="J4">
        <v>20.722572045739021</v>
      </c>
      <c r="K4">
        <v>10.165768054772439</v>
      </c>
      <c r="L4">
        <v>73.489136547989986</v>
      </c>
      <c r="M4">
        <v>38.281936065317687</v>
      </c>
      <c r="N4">
        <v>36.406473401462108</v>
      </c>
      <c r="O4">
        <v>58.254489846803331</v>
      </c>
    </row>
    <row r="5" spans="1:15" x14ac:dyDescent="0.3">
      <c r="A5" t="s">
        <v>30</v>
      </c>
      <c r="B5" t="s">
        <v>36</v>
      </c>
      <c r="C5">
        <v>77.18258153260355</v>
      </c>
      <c r="D5">
        <v>17.645474211464354</v>
      </c>
      <c r="E5">
        <v>3.1062912000072744</v>
      </c>
      <c r="F5">
        <v>62.198794214200333</v>
      </c>
      <c r="G5">
        <v>38.34409937021946</v>
      </c>
      <c r="H5">
        <v>17.37665580795187</v>
      </c>
      <c r="I5">
        <v>69.662076381772934</v>
      </c>
      <c r="J5">
        <v>54.165900457961001</v>
      </c>
      <c r="K5">
        <v>64.415190360627719</v>
      </c>
      <c r="L5">
        <v>51.512500641527566</v>
      </c>
      <c r="M5">
        <v>65.326261383324351</v>
      </c>
      <c r="N5">
        <v>77.174658138200783</v>
      </c>
      <c r="O5">
        <v>35.751442100760855</v>
      </c>
    </row>
    <row r="6" spans="1:15" x14ac:dyDescent="0.3">
      <c r="A6" t="s">
        <v>31</v>
      </c>
      <c r="B6" t="s">
        <v>36</v>
      </c>
      <c r="C6">
        <v>1.3171410839854474</v>
      </c>
      <c r="D6">
        <v>57.011256239017172</v>
      </c>
      <c r="E6">
        <v>18.002648386437002</v>
      </c>
      <c r="F6">
        <v>47.231315325699669</v>
      </c>
      <c r="G6">
        <v>32.622088005402723</v>
      </c>
      <c r="H6">
        <v>73.859249380169729</v>
      </c>
      <c r="I6">
        <v>13.674453997506417</v>
      </c>
      <c r="J6">
        <v>38.309561656981373</v>
      </c>
      <c r="K6">
        <v>20.064991354463707</v>
      </c>
      <c r="L6">
        <v>61.222037784349141</v>
      </c>
      <c r="M6">
        <v>32.864965183611382</v>
      </c>
      <c r="N6">
        <v>26.770083191400612</v>
      </c>
      <c r="O6">
        <v>71.652020889125993</v>
      </c>
    </row>
    <row r="7" spans="1:15" x14ac:dyDescent="0.3">
      <c r="A7" t="s">
        <v>19</v>
      </c>
      <c r="B7" t="s">
        <v>36</v>
      </c>
      <c r="C7">
        <v>65.427312655800449</v>
      </c>
      <c r="D7">
        <v>19.531948712558279</v>
      </c>
      <c r="E7">
        <v>10.733123020165758</v>
      </c>
      <c r="F7">
        <v>16.508498563854957</v>
      </c>
      <c r="G7">
        <v>8.2113455834795879</v>
      </c>
      <c r="H7">
        <v>22.815955306823962</v>
      </c>
      <c r="I7">
        <v>41.906926995438916</v>
      </c>
      <c r="J7">
        <v>25.322879740861797</v>
      </c>
      <c r="K7">
        <v>72.012542410532191</v>
      </c>
      <c r="L7">
        <v>21.27934964497388</v>
      </c>
      <c r="M7">
        <v>14.557297129278343</v>
      </c>
      <c r="N7">
        <v>11.201005364622016</v>
      </c>
      <c r="O7">
        <v>78.19138561776947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30+%</vt:lpstr>
      <vt:lpstr>30+$</vt:lpstr>
      <vt:lpstr>90+%</vt:lpstr>
      <vt:lpstr>90+$</vt:lpstr>
      <vt:lpstr>ENR</vt:lpstr>
      <vt:lpstr>GCO %</vt:lpstr>
      <vt:lpstr>ECL IIP LI</vt:lpstr>
      <vt:lpstr>Country prod level app rate</vt:lpstr>
      <vt:lpstr>#monthly new approved</vt:lpstr>
      <vt:lpstr># policy exception L2 and L3</vt:lpstr>
      <vt:lpstr>ME EA AWC</vt:lpstr>
      <vt:lpstr>PvB EA AWC</vt:lpstr>
      <vt:lpstr>RWA</vt:lpstr>
      <vt:lpstr>Interest Rates</vt:lpstr>
      <vt:lpstr>Fx Rates used</vt:lpstr>
      <vt:lpstr>PPI</vt:lpstr>
      <vt:lpstr>CCPL Volatile by Country</vt:lpstr>
      <vt:lpstr>LTV &gt; 80 Excl MIP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Vardhan</dc:creator>
  <cp:lastModifiedBy>Yashwant Vardhan</cp:lastModifiedBy>
  <dcterms:created xsi:type="dcterms:W3CDTF">2026-07-30T05:51:48Z</dcterms:created>
  <dcterms:modified xsi:type="dcterms:W3CDTF">2026-08-03T04:07:00Z</dcterms:modified>
</cp:coreProperties>
</file>